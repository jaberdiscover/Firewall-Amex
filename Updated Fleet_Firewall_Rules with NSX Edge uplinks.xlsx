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Input Sheet" sheetId="1" state="visible" r:id="rId3"/>
    <sheet name=" Fleet → Mgmt+WLD" sheetId="2" state="visible" r:id="rId4"/>
    <sheet name="Mgmt+WLD → Fleet" sheetId="3" state="visible" r:id="rId5"/>
    <sheet name="Fleet → External" sheetId="4" state="visible" r:id="rId6"/>
    <sheet name=" Route Table" sheetId="5" state="visible" r:id="rId7"/>
    <sheet name="Por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<sst xmlns="http://schemas.openxmlformats.org/spreadsheetml/2006/main" count="1866" uniqueCount="862">
  <si>
    <t xml:space="preserve">AES-220  |  IP Address Input Sheet  |  Enter all IP values here</t>
  </si>
  <si>
    <t xml:space="preserve">Fill in the IP/Subnet for each component. All firewall rule tabs will auto-populate.</t>
  </si>
  <si>
    <t xml:space="preserve">#</t>
  </si>
  <si>
    <t xml:space="preserve">Component / Service</t>
  </si>
  <si>
    <t xml:space="preserve">Named Range Key</t>
  </si>
  <si>
    <t xml:space="preserve">AZ1  IP / Subnet</t>
  </si>
  <si>
    <t xml:space="preserve">AZ2  IP / Subnet</t>
  </si>
  <si>
    <t xml:space="preserve">AZ3  IP / Subnet</t>
  </si>
  <si>
    <t xml:space="preserve">🔷  FLEET COMPONENTS  (NSX Overlay Segment)</t>
  </si>
  <si>
    <t xml:space="preserve">F1</t>
  </si>
  <si>
    <t xml:space="preserve">VCF Operations Fleet Manager</t>
  </si>
  <si>
    <t xml:space="preserve">FLEET_MGR</t>
  </si>
  <si>
    <t xml:space="preserve">10.3.118.28</t>
  </si>
  <si>
    <t xml:space="preserve">10.5.59.28</t>
  </si>
  <si>
    <t xml:space="preserve">F2</t>
  </si>
  <si>
    <t xml:space="preserve">VCF Operations (VCFO)</t>
  </si>
  <si>
    <t xml:space="preserve">VCFO</t>
  </si>
  <si>
    <t xml:space="preserve">10.5.25.64/26</t>
  </si>
  <si>
    <t xml:space="preserve">F3</t>
  </si>
  <si>
    <t xml:space="preserve">VCF Automation (VCFA)</t>
  </si>
  <si>
    <t xml:space="preserve">VCFA</t>
  </si>
  <si>
    <t xml:space="preserve">F4</t>
  </si>
  <si>
    <t xml:space="preserve">VCF Operations for Logs (VOL)</t>
  </si>
  <si>
    <t xml:space="preserve">VOL</t>
  </si>
  <si>
    <t xml:space="preserve">F5</t>
  </si>
  <si>
    <t xml:space="preserve">VCF Operations for Networks (VON)</t>
  </si>
  <si>
    <t xml:space="preserve">VON</t>
  </si>
  <si>
    <t xml:space="preserve">F6</t>
  </si>
  <si>
    <t xml:space="preserve">Identity Broker (VIDB)</t>
  </si>
  <si>
    <t xml:space="preserve">VIDB</t>
  </si>
  <si>
    <t xml:space="preserve">10.3.118.0/24</t>
  </si>
  <si>
    <t xml:space="preserve">10.5.59.0/24</t>
  </si>
  <si>
    <t xml:space="preserve">F7</t>
  </si>
  <si>
    <t xml:space="preserve">Fleet Overlay Subnet (overall)</t>
  </si>
  <si>
    <t xml:space="preserve">FLEET_SUBNET</t>
  </si>
  <si>
    <t xml:space="preserve">🔷  MANAGEMENT DOMAIN COMPONENTS  (VLAN 2600 — per AZ)</t>
  </si>
  <si>
    <t xml:space="preserve">M1</t>
  </si>
  <si>
    <t xml:space="preserve">vCenter Server</t>
  </si>
  <si>
    <t xml:space="preserve">VCENTER</t>
  </si>
  <si>
    <t xml:space="preserve">10.3.118.18</t>
  </si>
  <si>
    <t xml:space="preserve">10.5.59.4</t>
  </si>
  <si>
    <t xml:space="preserve">M2</t>
  </si>
  <si>
    <t xml:space="preserve">NSX Manager (Local)</t>
  </si>
  <si>
    <t xml:space="preserve">NSX_MGR</t>
  </si>
  <si>
    <t xml:space="preserve">M3</t>
  </si>
  <si>
    <t xml:space="preserve">NSX Global Manager</t>
  </si>
  <si>
    <t xml:space="preserve">NSX_GM</t>
  </si>
  <si>
    <t xml:space="preserve">M4</t>
  </si>
  <si>
    <t xml:space="preserve">SDDC Manager</t>
  </si>
  <si>
    <t xml:space="preserve">SDDC_MGR</t>
  </si>
  <si>
    <t xml:space="preserve">10.3.118.30</t>
  </si>
  <si>
    <t xml:space="preserve">10.5.59.30</t>
  </si>
  <si>
    <t xml:space="preserve">M5</t>
  </si>
  <si>
    <t xml:space="preserve">VCF Operations Collector</t>
  </si>
  <si>
    <t xml:space="preserve">VCFO_COLL</t>
  </si>
  <si>
    <t xml:space="preserve">10.3.118.35</t>
  </si>
  <si>
    <t xml:space="preserve">10.5.59.35</t>
  </si>
  <si>
    <t xml:space="preserve">M6</t>
  </si>
  <si>
    <t xml:space="preserve">ESXi Mgmt Subnet — Mgmt Domain</t>
  </si>
  <si>
    <t xml:space="preserve">ESXI_MGMT_MD</t>
  </si>
  <si>
    <t xml:space="preserve">10.5.58.0/24</t>
  </si>
  <si>
    <t xml:space="preserve">M7</t>
  </si>
  <si>
    <t xml:space="preserve">VCF OPS for Network Collector</t>
  </si>
  <si>
    <t xml:space="preserve">VON_COLL</t>
  </si>
  <si>
    <t xml:space="preserve">10.3.118.101</t>
  </si>
  <si>
    <t xml:space="preserve">🔷  EDGE CLUSTER UPLINKS  (per AZ — ToR Peer IPs from Network Team)</t>
  </si>
  <si>
    <t xml:space="preserve">EU1</t>
  </si>
  <si>
    <t xml:space="preserve">Edge 1  —  Uplink 1  (VLAN 2606 — Rack 1)</t>
  </si>
  <si>
    <t xml:space="preserve">EDGE1_UPL1</t>
  </si>
  <si>
    <t xml:space="preserve">10.3.111.101</t>
  </si>
  <si>
    <t xml:space="preserve">10.3.111.231</t>
  </si>
  <si>
    <t xml:space="preserve">EU2</t>
  </si>
  <si>
    <t xml:space="preserve">Edge 1  —  Uplink 2  (VLAN 2607 — Rack 1)</t>
  </si>
  <si>
    <t xml:space="preserve">EDGE1_UPL2</t>
  </si>
  <si>
    <t xml:space="preserve">10.3.111.121</t>
  </si>
  <si>
    <t xml:space="preserve">10.3.111.241</t>
  </si>
  <si>
    <t xml:space="preserve">EU3</t>
  </si>
  <si>
    <t xml:space="preserve">Edge 2  —  Uplink 1  (VLAN 2606 — Rack 1)</t>
  </si>
  <si>
    <t xml:space="preserve">EDGE2_UPL1</t>
  </si>
  <si>
    <t xml:space="preserve">10.3.111.102</t>
  </si>
  <si>
    <t xml:space="preserve">10.3.111.232</t>
  </si>
  <si>
    <t xml:space="preserve">EU4</t>
  </si>
  <si>
    <t xml:space="preserve">Edge 2  —  Uplink 2  (VLAN 2607 — Rack 1)</t>
  </si>
  <si>
    <t xml:space="preserve">EDGE2_UPL2</t>
  </si>
  <si>
    <t xml:space="preserve">10.3.111.122</t>
  </si>
  <si>
    <t xml:space="preserve">10.3.111.242</t>
  </si>
  <si>
    <t xml:space="preserve">EU5</t>
  </si>
  <si>
    <t xml:space="preserve">Edge 3  —  Uplink 1  (VLAN 2608 — Rack 2)</t>
  </si>
  <si>
    <t xml:space="preserve">EDGE3_UPL1</t>
  </si>
  <si>
    <t xml:space="preserve">10.3.111.133</t>
  </si>
  <si>
    <t xml:space="preserve">10.5.25.13</t>
  </si>
  <si>
    <t xml:space="preserve">EU6</t>
  </si>
  <si>
    <t xml:space="preserve">Edge 3  —  Uplink 2  (VLAN 2609 — Rack 2)</t>
  </si>
  <si>
    <t xml:space="preserve">EDGE3_UPL2</t>
  </si>
  <si>
    <t xml:space="preserve">10.3.111.153</t>
  </si>
  <si>
    <t xml:space="preserve">10.5.25.23</t>
  </si>
  <si>
    <t xml:space="preserve">EU7</t>
  </si>
  <si>
    <t xml:space="preserve">Edge 4  —  Uplink 1  (VLAN 2608 — Rack 2)</t>
  </si>
  <si>
    <t xml:space="preserve">EDGE4_UPL1</t>
  </si>
  <si>
    <t xml:space="preserve">10.3.111.134</t>
  </si>
  <si>
    <t xml:space="preserve">10.5.25.14</t>
  </si>
  <si>
    <t xml:space="preserve">EU8</t>
  </si>
  <si>
    <t xml:space="preserve">Edge 4  —  Uplink 2  (VLAN 2609 — Rack 2)</t>
  </si>
  <si>
    <t xml:space="preserve">EDGE4_UPL2</t>
  </si>
  <si>
    <t xml:space="preserve">10.3.111.154</t>
  </si>
  <si>
    <t xml:space="preserve">10.5.25.24</t>
  </si>
  <si>
    <t xml:space="preserve">EU9</t>
  </si>
  <si>
    <t xml:space="preserve">Edge TEP Subnet  (VLAN 2603 — intra-AZ HA + GENEVE)</t>
  </si>
  <si>
    <t xml:space="preserve">EDGE_TEP</t>
  </si>
  <si>
    <t xml:space="preserve">10.5.236.0/24</t>
  </si>
  <si>
    <t xml:space="preserve">10.5.248.0/24</t>
  </si>
  <si>
    <t xml:space="preserve">EU10</t>
  </si>
  <si>
    <t xml:space="preserve">Remote TEP Subnet  (VLAN 2605 — cross-AZ GENEVE)</t>
  </si>
  <si>
    <t xml:space="preserve">EDGE_RTEP</t>
  </si>
  <si>
    <t xml:space="preserve">10.5.22.0/24</t>
  </si>
  <si>
    <t xml:space="preserve">10.5.24.0/24</t>
  </si>
  <si>
    <t xml:space="preserve">EU11</t>
  </si>
  <si>
    <t xml:space="preserve">ToR BGP Peer — Rack 1  Uplink 1  (VLAN 2606)</t>
  </si>
  <si>
    <t xml:space="preserve">TOR_R1_UPL1</t>
  </si>
  <si>
    <t xml:space="preserve">10.3.111.97</t>
  </si>
  <si>
    <t xml:space="preserve">10.3.111.225</t>
  </si>
  <si>
    <t xml:space="preserve">EU12</t>
  </si>
  <si>
    <t xml:space="preserve">ToR BGP Peer — Rack 1  Uplink 2  (VLAN 2607)</t>
  </si>
  <si>
    <t xml:space="preserve">TOR_R1_UPL2</t>
  </si>
  <si>
    <t xml:space="preserve">10.3.111.113</t>
  </si>
  <si>
    <t xml:space="preserve">EU13</t>
  </si>
  <si>
    <t xml:space="preserve">ToR BGP Peer — Rack 2  Uplink 1  (VLAN 2608)</t>
  </si>
  <si>
    <t xml:space="preserve">TOR_R2_UPL1</t>
  </si>
  <si>
    <t xml:space="preserve">10.3.111.129</t>
  </si>
  <si>
    <t xml:space="preserve">10.5.25.1</t>
  </si>
  <si>
    <t xml:space="preserve">EU14</t>
  </si>
  <si>
    <t xml:space="preserve">ToR BGP Peer — Rack 2  Uplink 2  (VLAN 2609)</t>
  </si>
  <si>
    <t xml:space="preserve">TOR_R2_UPL2</t>
  </si>
  <si>
    <t xml:space="preserve">10.3.111.145</t>
  </si>
  <si>
    <t xml:space="preserve">10.5.25.17</t>
  </si>
  <si>
    <t xml:space="preserve">🔷  WORKLOAD DOMAIN  (per AZ)</t>
  </si>
  <si>
    <t xml:space="preserve">W1</t>
  </si>
  <si>
    <t xml:space="preserve">ESXi Mgmt Subnet — WLD</t>
  </si>
  <si>
    <t xml:space="preserve">ESXI_MGMT_WLD</t>
  </si>
  <si>
    <t xml:space="preserve">W2</t>
  </si>
  <si>
    <t xml:space="preserve">Workload Ext Subnet</t>
  </si>
  <si>
    <t xml:space="preserve">WLD_EXT</t>
  </si>
  <si>
    <t xml:space="preserve">W3</t>
  </si>
  <si>
    <t xml:space="preserve">VPC Segment Subnet</t>
  </si>
  <si>
    <t xml:space="preserve">VPC_SEG</t>
  </si>
  <si>
    <t xml:space="preserve">W4</t>
  </si>
  <si>
    <t xml:space="preserve">vCenter Server (WLD)</t>
  </si>
  <si>
    <t xml:space="preserve">VCENTER_WLD</t>
  </si>
  <si>
    <t xml:space="preserve">W5</t>
  </si>
  <si>
    <t xml:space="preserve">NSX Manager (WLD)</t>
  </si>
  <si>
    <t xml:space="preserve">NSX_MGR_WLD</t>
  </si>
  <si>
    <t xml:space="preserve">🔷  EXTERNAL SERVICES  (shared — no AZ split needed)</t>
  </si>
  <si>
    <t xml:space="preserve">E1</t>
  </si>
  <si>
    <t xml:space="preserve">DNS Server</t>
  </si>
  <si>
    <t xml:space="preserve">DNS_SRV</t>
  </si>
  <si>
    <t xml:space="preserve">N/A — shared</t>
  </si>
  <si>
    <t xml:space="preserve">E2</t>
  </si>
  <si>
    <t xml:space="preserve">NTP Server</t>
  </si>
  <si>
    <t xml:space="preserve">NTP_SRV</t>
  </si>
  <si>
    <t xml:space="preserve">E3</t>
  </si>
  <si>
    <t xml:space="preserve">AD / LDAP Server</t>
  </si>
  <si>
    <t xml:space="preserve">AD_SRV</t>
  </si>
  <si>
    <t xml:space="preserve">E4</t>
  </si>
  <si>
    <t xml:space="preserve">CA Certificate Server</t>
  </si>
  <si>
    <t xml:space="preserve">CA_SRV</t>
  </si>
  <si>
    <t xml:space="preserve">E5</t>
  </si>
  <si>
    <t xml:space="preserve">SFTP Backup Server</t>
  </si>
  <si>
    <t xml:space="preserve">SFTP_SRV</t>
  </si>
  <si>
    <t xml:space="preserve">E6</t>
  </si>
  <si>
    <t xml:space="preserve">Artifactory / Depot</t>
  </si>
  <si>
    <t xml:space="preserve">ARTIF_SRV</t>
  </si>
  <si>
    <t xml:space="preserve">LEGEND:</t>
  </si>
  <si>
    <t xml:space="preserve">Yellow cells = enter IP/subnet here</t>
  </si>
  <si>
    <t xml:space="preserve">Grey = not applicable (shared services)</t>
  </si>
  <si>
    <t xml:space="preserve">AES-220  |  Firewall Rules  |  Fleet → Management Domain &amp; WLD ESXi Hosts</t>
  </si>
  <si>
    <t xml:space="preserve">Source IP and Destination IP auto-populate from 'IP Input Sheet'.  Fill in IPs there first.</t>
  </si>
  <si>
    <t xml:space="preserve">Rule Name</t>
  </si>
  <si>
    <t xml:space="preserve">Source Component</t>
  </si>
  <si>
    <t xml:space="preserve">Source IP / Subnet</t>
  </si>
  <si>
    <t xml:space="preserve">Destination Component</t>
  </si>
  <si>
    <t xml:space="preserve">Destination IP / Subnet</t>
  </si>
  <si>
    <t xml:space="preserve">Port</t>
  </si>
  <si>
    <t xml:space="preserve">Protocol</t>
  </si>
  <si>
    <t xml:space="preserve">Service / Application</t>
  </si>
  <si>
    <t xml:space="preserve">Action</t>
  </si>
  <si>
    <t xml:space="preserve">Firewall Type</t>
  </si>
  <si>
    <t xml:space="preserve">Flow Direction</t>
  </si>
  <si>
    <t xml:space="preserve">Notes</t>
  </si>
  <si>
    <t xml:space="preserve">FM-01</t>
  </si>
  <si>
    <t xml:space="preserve">Fleet Mgr → SDDC Mgmt</t>
  </si>
  <si>
    <t xml:space="preserve">443</t>
  </si>
  <si>
    <t xml:space="preserve">TCP</t>
  </si>
  <si>
    <t xml:space="preserve">Lifecycle Management</t>
  </si>
  <si>
    <t xml:space="preserve">Allow</t>
  </si>
  <si>
    <t xml:space="preserve">Gateway FW</t>
  </si>
  <si>
    <t xml:space="preserve">Outbound</t>
  </si>
  <si>
    <t xml:space="preserve">Ticket req #3 — Fleet→Mgmt</t>
  </si>
  <si>
    <t xml:space="preserve">FM-02</t>
  </si>
  <si>
    <t xml:space="preserve">Fleet Mgr → VCF Operations</t>
  </si>
  <si>
    <t xml:space="preserve">VCF Ops collector metrics</t>
  </si>
  <si>
    <t xml:space="preserve">Bidirectional</t>
  </si>
  <si>
    <t xml:space="preserve">FM-03</t>
  </si>
  <si>
    <t xml:space="preserve">Fleet Mgr → vCenter</t>
  </si>
  <si>
    <t xml:space="preserve">vCenter config &amp; mgmt tasks</t>
  </si>
  <si>
    <t xml:space="preserve">FM-04</t>
  </si>
  <si>
    <t xml:space="preserve">Fleet Mgr → NSX Manager</t>
  </si>
  <si>
    <t xml:space="preserve">NSX Manager</t>
  </si>
  <si>
    <t xml:space="preserve">NSX networking &amp; security config</t>
  </si>
  <si>
    <t xml:space="preserve">FM-05</t>
  </si>
  <si>
    <t xml:space="preserve">Fleet Mgr → DNS</t>
  </si>
  <si>
    <t xml:space="preserve">53</t>
  </si>
  <si>
    <t xml:space="preserve">TCP/UDP</t>
  </si>
  <si>
    <t xml:space="preserve">Name resolution</t>
  </si>
  <si>
    <t xml:space="preserve">All Fleet+VCF components</t>
  </si>
  <si>
    <t xml:space="preserve">FM-06</t>
  </si>
  <si>
    <t xml:space="preserve">Fleet Mgr → NTP</t>
  </si>
  <si>
    <t xml:space="preserve">123</t>
  </si>
  <si>
    <t xml:space="preserve">UDP</t>
  </si>
  <si>
    <t xml:space="preserve">Time synchronisation</t>
  </si>
  <si>
    <t xml:space="preserve">FM-07</t>
  </si>
  <si>
    <t xml:space="preserve">Fleet Mgr → ESXi (HTTPS)</t>
  </si>
  <si>
    <t xml:space="preserve">ESXi Hosts (WLD)</t>
  </si>
  <si>
    <t xml:space="preserve">Secure web services / APIs</t>
  </si>
  <si>
    <t xml:space="preserve">FM-08</t>
  </si>
  <si>
    <t xml:space="preserve">Fleet Mgr → VCFA (SSH)</t>
  </si>
  <si>
    <t xml:space="preserve">VCF Automation</t>
  </si>
  <si>
    <t xml:space="preserve">22</t>
  </si>
  <si>
    <t xml:space="preserve">SSH lifecycle tasks</t>
  </si>
  <si>
    <t xml:space="preserve">Admin  restrict to jump host</t>
  </si>
  <si>
    <t xml:space="preserve">FM-09</t>
  </si>
  <si>
    <t xml:space="preserve">Fleet Mgr → VCFA+VIDB (6443)</t>
  </si>
  <si>
    <t xml:space="preserve">Identity Broker &amp; VCF Automation</t>
  </si>
  <si>
    <t xml:space="preserve">6443</t>
  </si>
  <si>
    <t xml:space="preserve">Control Plane API (k8s apiserver)</t>
  </si>
  <si>
    <t xml:space="preserve">FM-10</t>
  </si>
  <si>
    <t xml:space="preserve">Fleet Mgr → VCFA+VIDB (30006)</t>
  </si>
  <si>
    <t xml:space="preserve">30006</t>
  </si>
  <si>
    <t xml:space="preserve">Validates VCFA health pre-LCM</t>
  </si>
  <si>
    <t xml:space="preserve">FM-11</t>
  </si>
  <si>
    <t xml:space="preserve">Fleet Mgr → VCFA+VIDB (30005)</t>
  </si>
  <si>
    <t xml:space="preserve">30005</t>
  </si>
  <si>
    <t xml:space="preserve">API calls to VIDB &amp; VCFA</t>
  </si>
  <si>
    <t xml:space="preserve">FM-12</t>
  </si>
  <si>
    <t xml:space="preserve">Fleet Mgr → VCFA+VIDB (30001)</t>
  </si>
  <si>
    <t xml:space="preserve">30001</t>
  </si>
  <si>
    <t xml:space="preserve">Container images (k8s/VKS)</t>
  </si>
  <si>
    <t xml:space="preserve">FM-13</t>
  </si>
  <si>
    <t xml:space="preserve">Fleet Mgr → VCFA+VIDB (30000)</t>
  </si>
  <si>
    <t xml:space="preserve">30000</t>
  </si>
  <si>
    <t xml:space="preserve">FM-14</t>
  </si>
  <si>
    <t xml:space="preserve">Fleet Mgr → VCFA health</t>
  </si>
  <si>
    <t xml:space="preserve">8008</t>
  </si>
  <si>
    <t xml:space="preserve">Health check monitoring</t>
  </si>
  <si>
    <t xml:space="preserve">VO-01</t>
  </si>
  <si>
    <t xml:space="preserve">VCF Ops → NTP</t>
  </si>
  <si>
    <t xml:space="preserve">Time sync — primary/replica/data nodes</t>
  </si>
  <si>
    <t xml:space="preserve">VO-02</t>
  </si>
  <si>
    <t xml:space="preserve">VCF Ops → DNS</t>
  </si>
  <si>
    <t xml:space="preserve">DNS resolution</t>
  </si>
  <si>
    <t xml:space="preserve">VO-03</t>
  </si>
  <si>
    <t xml:space="preserve">VCF Ops → LDAP</t>
  </si>
  <si>
    <t xml:space="preserve">AD/LDAP Server</t>
  </si>
  <si>
    <t xml:space="preserve">389</t>
  </si>
  <si>
    <t xml:space="preserve">LDAP directory</t>
  </si>
  <si>
    <t xml:space="preserve">VO-04</t>
  </si>
  <si>
    <t xml:space="preserve">VCF Ops → LDAPS</t>
  </si>
  <si>
    <t xml:space="preserve">636</t>
  </si>
  <si>
    <t xml:space="preserve">LDAPS secure directory</t>
  </si>
  <si>
    <t xml:space="preserve">VO-05</t>
  </si>
  <si>
    <t xml:space="preserve">VCF Ops → Global Catalog</t>
  </si>
  <si>
    <t xml:space="preserve">3268/3269</t>
  </si>
  <si>
    <t xml:space="preserve">Global Catalog AD</t>
  </si>
  <si>
    <t xml:space="preserve">VO-06</t>
  </si>
  <si>
    <t xml:space="preserve">VCF Ops → SFTP</t>
  </si>
  <si>
    <t xml:space="preserve">SFTP Server</t>
  </si>
  <si>
    <t xml:space="preserve">External backup</t>
  </si>
  <si>
    <t xml:space="preserve">VO-07</t>
  </si>
  <si>
    <t xml:space="preserve">VCF Ops → vCenter (inventory)</t>
  </si>
  <si>
    <t xml:space="preserve">10443</t>
  </si>
  <si>
    <t xml:space="preserve">vCenter inventory service</t>
  </si>
  <si>
    <t xml:space="preserve">VO-08</t>
  </si>
  <si>
    <t xml:space="preserve">VCF Ops → vCenter (HTTPS)</t>
  </si>
  <si>
    <t xml:space="preserve">HTTPS API comms</t>
  </si>
  <si>
    <t xml:space="preserve">VO-09</t>
  </si>
  <si>
    <t xml:space="preserve">VCF Ops → ESXi</t>
  </si>
  <si>
    <t xml:space="preserve">Management operations</t>
  </si>
  <si>
    <t xml:space="preserve">VO-10</t>
  </si>
  <si>
    <t xml:space="preserve">VCF Ops → NSX Manager</t>
  </si>
  <si>
    <t xml:space="preserve">NSX API metrics/inventory</t>
  </si>
  <si>
    <t xml:space="preserve">VA-01</t>
  </si>
  <si>
    <t xml:space="preserve">VCF Auto → vCenter</t>
  </si>
  <si>
    <t xml:space="preserve">API and Web Access — mgmt+API</t>
  </si>
  <si>
    <t xml:space="preserve">VA-02</t>
  </si>
  <si>
    <t xml:space="preserve">VCF Auto → ESXi (902)</t>
  </si>
  <si>
    <t xml:space="preserve">902</t>
  </si>
  <si>
    <t xml:space="preserve">VM Console VMRC/MKS</t>
  </si>
  <si>
    <t xml:space="preserve">VA-03</t>
  </si>
  <si>
    <t xml:space="preserve">VCF Auto → ESXi (443)</t>
  </si>
  <si>
    <t xml:space="preserve">Web Console</t>
  </si>
  <si>
    <t xml:space="preserve">VA-04</t>
  </si>
  <si>
    <t xml:space="preserve">VCF Auto → ESXi (SSH)</t>
  </si>
  <si>
    <t xml:space="preserve">SSH</t>
  </si>
  <si>
    <t xml:space="preserve">Admin restrict to jump host</t>
  </si>
  <si>
    <t xml:space="preserve">VA-05</t>
  </si>
  <si>
    <t xml:space="preserve">VCF Auto → NSX Mgr</t>
  </si>
  <si>
    <t xml:space="preserve">NSX Manager Cluster</t>
  </si>
  <si>
    <t xml:space="preserve">NSX Manager API HTTPS — policy provisioning</t>
  </si>
  <si>
    <t xml:space="preserve">VA-06</t>
  </si>
  <si>
    <t xml:space="preserve">VCF Auto → Supervisor VIP (443)</t>
  </si>
  <si>
    <t xml:space="preserve">Supervisor Control Plane VIP</t>
  </si>
  <si>
    <t xml:space="preserve">vSphere Supervisor API via LB</t>
  </si>
  <si>
    <t xml:space="preserve">VA-07</t>
  </si>
  <si>
    <t xml:space="preserve">VCF Auto → Supervisor VIP (6443)</t>
  </si>
  <si>
    <t xml:space="preserve">Kubernetes API server</t>
  </si>
  <si>
    <t xml:space="preserve">VN-01</t>
  </si>
  <si>
    <t xml:space="preserve">VON → vCenter (IPFIX)</t>
  </si>
  <si>
    <t xml:space="preserve">VCF Ops for Networks (VON)</t>
  </si>
  <si>
    <t xml:space="preserve">2055</t>
  </si>
  <si>
    <t xml:space="preserve">IPFIX (deprecated → use 4739)</t>
  </si>
  <si>
    <t xml:space="preserve">Port 2055 deprecated</t>
  </si>
  <si>
    <t xml:space="preserve">VN-02</t>
  </si>
  <si>
    <t xml:space="preserve">VON → ESXi (IPFIX)</t>
  </si>
  <si>
    <t xml:space="preserve">4739</t>
  </si>
  <si>
    <t xml:space="preserve">IPFIX + NETFLOW export</t>
  </si>
  <si>
    <t xml:space="preserve">VN-03</t>
  </si>
  <si>
    <t xml:space="preserve">VON → NSX Manager</t>
  </si>
  <si>
    <t xml:space="preserve">HTTPS NSX API — inventory+config+events</t>
  </si>
  <si>
    <t xml:space="preserve">VN-04</t>
  </si>
  <si>
    <t xml:space="preserve">VON → DNS</t>
  </si>
  <si>
    <t xml:space="preserve">DNS name resolution</t>
  </si>
  <si>
    <t xml:space="preserve">VN-05</t>
  </si>
  <si>
    <t xml:space="preserve">VON → NTP</t>
  </si>
  <si>
    <t xml:space="preserve">Time server</t>
  </si>
  <si>
    <t xml:space="preserve">VN-06</t>
  </si>
  <si>
    <t xml:space="preserve">VON → Switches (SNMP)</t>
  </si>
  <si>
    <t xml:space="preserve">Multi-Vendor Switches/Routers</t>
  </si>
  <si>
    <t xml:space="preserve">[Physical Device IPs]</t>
  </si>
  <si>
    <t xml:space="preserve">161</t>
  </si>
  <si>
    <t xml:space="preserve">SNMP Polling</t>
  </si>
  <si>
    <t xml:space="preserve">Confirm physical device IPs with network team</t>
  </si>
  <si>
    <t xml:space="preserve">VN-07</t>
  </si>
  <si>
    <t xml:space="preserve">VON → VON Collector (HTTPS)</t>
  </si>
  <si>
    <t xml:space="preserve">VCF OPS Network Collector (M7)</t>
  </si>
  <si>
    <t xml:space="preserve">VON Collector API — flow collection</t>
  </si>
  <si>
    <t xml:space="preserve">M7 — added per Raju</t>
  </si>
  <si>
    <t xml:space="preserve">VN-08</t>
  </si>
  <si>
    <t xml:space="preserve">VON → VON Collector (SSH)</t>
  </si>
  <si>
    <t xml:space="preserve">SSH management — collector node</t>
  </si>
  <si>
    <t xml:space="preserve">M7 — Admin, restrict to jump host</t>
  </si>
  <si>
    <t xml:space="preserve">VO-11</t>
  </si>
  <si>
    <t xml:space="preserve">VCFO → VON Collector</t>
  </si>
  <si>
    <t xml:space="preserve">VCFO → collector metrics/config</t>
  </si>
  <si>
    <t xml:space="preserve">M7 — per Raju</t>
  </si>
  <si>
    <t xml:space="preserve">BGP-01</t>
  </si>
  <si>
    <t xml:space="preserve">Edge 1 Uplink1 → ToR Rack1 BGP (VLAN 2606)</t>
  </si>
  <si>
    <t xml:space="preserve">NSX Edge 1 — Uplink 1 (Rack 1)</t>
  </si>
  <si>
    <t xml:space="preserve">ToR BGP Peer (VLAN 2606)</t>
  </si>
  <si>
    <t xml:space="preserve">179</t>
  </si>
  <si>
    <t xml:space="preserve">BGP peering — bidirectional</t>
  </si>
  <si>
    <t xml:space="preserve">EU1→EU11</t>
  </si>
  <si>
    <t xml:space="preserve">BGP-02</t>
  </si>
  <si>
    <t xml:space="preserve">Edge 1 Uplink2 → ToR Rack1 BGP (VLAN 2607)</t>
  </si>
  <si>
    <t xml:space="preserve">NSX Edge 1 — Uplink 2 (Rack 1)</t>
  </si>
  <si>
    <t xml:space="preserve">ToR BGP Peer (VLAN 2607)</t>
  </si>
  <si>
    <t xml:space="preserve">EU2→EU12</t>
  </si>
  <si>
    <t xml:space="preserve">BGP-03</t>
  </si>
  <si>
    <t xml:space="preserve">Edge 2 Uplink1 → ToR Rack1 BGP (VLAN 2606)</t>
  </si>
  <si>
    <t xml:space="preserve">NSX Edge 2 — Uplink 1 (Rack 1)</t>
  </si>
  <si>
    <t xml:space="preserve">EU3→EU11</t>
  </si>
  <si>
    <t xml:space="preserve">BGP-04</t>
  </si>
  <si>
    <t xml:space="preserve">Edge 2 Uplink2 → ToR Rack1 BGP (VLAN 2607)</t>
  </si>
  <si>
    <t xml:space="preserve">NSX Edge 2 — Uplink 2 (Rack 1)</t>
  </si>
  <si>
    <t xml:space="preserve">EU4→EU12</t>
  </si>
  <si>
    <t xml:space="preserve">BGP-05</t>
  </si>
  <si>
    <t xml:space="preserve">Edge 3 Uplink1 → ToR Rack2 BGP (VLAN 2608)</t>
  </si>
  <si>
    <t xml:space="preserve">NSX Edge 3 — Uplink 1 (Rack 2)</t>
  </si>
  <si>
    <t xml:space="preserve">ToR BGP Peer (VLAN 2608)</t>
  </si>
  <si>
    <t xml:space="preserve">EU5→EU13</t>
  </si>
  <si>
    <t xml:space="preserve">BGP-06</t>
  </si>
  <si>
    <t xml:space="preserve">Edge 3 Uplink2 → ToR Rack2 BGP (VLAN 2609)</t>
  </si>
  <si>
    <t xml:space="preserve">NSX Edge 3 — Uplink 2 (Rack 2)</t>
  </si>
  <si>
    <t xml:space="preserve">ToR BGP Peer (VLAN 2609)</t>
  </si>
  <si>
    <t xml:space="preserve">EU6→EU14</t>
  </si>
  <si>
    <t xml:space="preserve">BGP-07</t>
  </si>
  <si>
    <t xml:space="preserve">Edge 4 Uplink1 → ToR Rack2 BGP (VLAN 2608)</t>
  </si>
  <si>
    <t xml:space="preserve">NSX Edge 4 — Uplink 1 (Rack 2)</t>
  </si>
  <si>
    <t xml:space="preserve">EU7→EU13</t>
  </si>
  <si>
    <t xml:space="preserve">BGP-08</t>
  </si>
  <si>
    <t xml:space="preserve">Edge 4 Uplink2 → ToR Rack2 BGP (VLAN 2609)</t>
  </si>
  <si>
    <t xml:space="preserve">NSX Edge 4 — Uplink 2 (Rack 2)</t>
  </si>
  <si>
    <t xml:space="preserve">EU8→EU14</t>
  </si>
  <si>
    <t xml:space="preserve">TEP-01</t>
  </si>
  <si>
    <t xml:space="preserve">Edge TEP ↔ Host TEP (intra-AZ GENEVE)</t>
  </si>
  <si>
    <t xml:space="preserve">NSX Edge TEP</t>
  </si>
  <si>
    <t xml:space="preserve">NSX Host TEP (ESXi)</t>
  </si>
  <si>
    <t xml:space="preserve">6081</t>
  </si>
  <si>
    <t xml:space="preserve">GENEVE intra-AZ overlay</t>
  </si>
  <si>
    <t xml:space="preserve">EU9 — MTU 1600+ required</t>
  </si>
  <si>
    <t xml:space="preserve">TEP-02</t>
  </si>
  <si>
    <t xml:space="preserve">Edge TEP ↔ Edge TEP (HA heartbeat)</t>
  </si>
  <si>
    <t xml:space="preserve">NSX Edge TEP (peer)</t>
  </si>
  <si>
    <t xml:space="preserve">GENEVE intra-AZ Edge HA</t>
  </si>
  <si>
    <t xml:space="preserve">EU9 — same AZ only</t>
  </si>
  <si>
    <t xml:space="preserve">TEP-03</t>
  </si>
  <si>
    <t xml:space="preserve">Remote TEP cross-AZ GENEVE</t>
  </si>
  <si>
    <t xml:space="preserve">NSX Remote TEP (RTEP)</t>
  </si>
  <si>
    <t xml:space="preserve">NSX Remote TEP (peer AZ)</t>
  </si>
  <si>
    <t xml:space="preserve">GENEVE cross-AZ via Super Spine</t>
  </si>
  <si>
    <t xml:space="preserve">EU10 — VLAN 2605 via Super Spine</t>
  </si>
  <si>
    <t xml:space="preserve">BFD-01</t>
  </si>
  <si>
    <t xml:space="preserve">BFD — Edge1 Uplink1 to ToR fast failover</t>
  </si>
  <si>
    <t xml:space="preserve">NSX Edge 1 Uplink 1</t>
  </si>
  <si>
    <t xml:space="preserve">ToR BGP Peer Rack1 VLAN2606</t>
  </si>
  <si>
    <t xml:space="preserve">3784</t>
  </si>
  <si>
    <t xml:space="preserve">BFD fast failover</t>
  </si>
  <si>
    <t xml:space="preserve">BFD-02</t>
  </si>
  <si>
    <t xml:space="preserve">BFD — Edge1 Uplink2 to ToR fast failover</t>
  </si>
  <si>
    <t xml:space="preserve">NSX Edge 1 Uplink 2</t>
  </si>
  <si>
    <t xml:space="preserve">ToR BGP Peer Rack1 VLAN2607</t>
  </si>
  <si>
    <t xml:space="preserve">BFD-03</t>
  </si>
  <si>
    <t xml:space="preserve">BFD — Edge3 Uplink1 to ToR fast failover</t>
  </si>
  <si>
    <t xml:space="preserve">NSX Edge 3 Uplink 1</t>
  </si>
  <si>
    <t xml:space="preserve">ToR BGP Peer Rack2 VLAN2608</t>
  </si>
  <si>
    <t xml:space="preserve">BFD-04</t>
  </si>
  <si>
    <t xml:space="preserve">BFD — Edge3 Uplink2 to ToR fast failover</t>
  </si>
  <si>
    <t xml:space="preserve">NSX Edge 3 Uplink 2</t>
  </si>
  <si>
    <t xml:space="preserve">ToR BGP Peer Rack2 VLAN2609</t>
  </si>
  <si>
    <t xml:space="preserve">AES-220  |  Firewall Rules  |  Management Domain &amp; WLD ESXi → Fleet</t>
  </si>
  <si>
    <t xml:space="preserve">MF-01</t>
  </si>
  <si>
    <t xml:space="preserve">vCenter → Fleet Mgr (HTTPS)</t>
  </si>
  <si>
    <t xml:space="preserve">VCF Ops Fleet Manager</t>
  </si>
  <si>
    <t xml:space="preserve">Core APIs/HTTPS lifecycle+orchestration</t>
  </si>
  <si>
    <t xml:space="preserve">Ticket req #4  Mgmt→Fleet</t>
  </si>
  <si>
    <t xml:space="preserve">MF-02</t>
  </si>
  <si>
    <t xml:space="preserve">vCenter → VCFO (API)</t>
  </si>
  <si>
    <t xml:space="preserve">API comms bidirectional</t>
  </si>
  <si>
    <t xml:space="preserve">MF-03</t>
  </si>
  <si>
    <t xml:space="preserve">vCenter → VCFO (node mgr)</t>
  </si>
  <si>
    <t xml:space="preserve">8443</t>
  </si>
  <si>
    <t xml:space="preserve">Node Manager</t>
  </si>
  <si>
    <t xml:space="preserve">MF-04</t>
  </si>
  <si>
    <t xml:space="preserve">vCenter → VCFA (API)</t>
  </si>
  <si>
    <t xml:space="preserve">API bidirectional</t>
  </si>
  <si>
    <t xml:space="preserve">MF-05</t>
  </si>
  <si>
    <t xml:space="preserve">vCenter → VOL (syslog)</t>
  </si>
  <si>
    <t xml:space="preserve">VCF Operations for Logs</t>
  </si>
  <si>
    <t xml:space="preserve">514</t>
  </si>
  <si>
    <t xml:space="preserve">Syslog remote logging</t>
  </si>
  <si>
    <t xml:space="preserve">MF-06</t>
  </si>
  <si>
    <t xml:space="preserve">vCenter → VOL (syslog TLS)</t>
  </si>
  <si>
    <t xml:space="preserve">1514</t>
  </si>
  <si>
    <t xml:space="preserve">Syslog over TLS</t>
  </si>
  <si>
    <t xml:space="preserve">MF-07</t>
  </si>
  <si>
    <t xml:space="preserve">vCenter → VON (IPFIX)</t>
  </si>
  <si>
    <t xml:space="preserve">VCF Ops for Networks</t>
  </si>
  <si>
    <t xml:space="preserve">IPFIX flow data vDS→NSX</t>
  </si>
  <si>
    <t xml:space="preserve">vDS distributed switches send IPFIX</t>
  </si>
  <si>
    <t xml:space="preserve">MF-08</t>
  </si>
  <si>
    <t xml:space="preserve">NSX Manager → VCFO (API)</t>
  </si>
  <si>
    <t xml:space="preserve">API/inventory collection</t>
  </si>
  <si>
    <t xml:space="preserve">MF-09</t>
  </si>
  <si>
    <t xml:space="preserve">NSX Mgr → VOL (syslog)</t>
  </si>
  <si>
    <t xml:space="preserve">NSX node syslog</t>
  </si>
  <si>
    <t xml:space="preserve">MF-10</t>
  </si>
  <si>
    <t xml:space="preserve">NSX Mgr → VOL (syslog TLS)</t>
  </si>
  <si>
    <t xml:space="preserve">6514</t>
  </si>
  <si>
    <t xml:space="preserve">MF-11</t>
  </si>
  <si>
    <t xml:space="preserve">SDDC Mgr → Fleet Mgr (HTTPS)</t>
  </si>
  <si>
    <t xml:space="preserve">HTTPS+API — fleet orchestration</t>
  </si>
  <si>
    <t xml:space="preserve">MF-12</t>
  </si>
  <si>
    <t xml:space="preserve">SDDC Mgr → Fleet Mgr (SSH)</t>
  </si>
  <si>
    <t xml:space="preserve">SSH — deployment+troubleshooting</t>
  </si>
  <si>
    <t xml:space="preserve">MF-13</t>
  </si>
  <si>
    <t xml:space="preserve">SDDC Mgr → VCFA (HTTPS)</t>
  </si>
  <si>
    <t xml:space="preserve">API access management</t>
  </si>
  <si>
    <t xml:space="preserve">MF-14</t>
  </si>
  <si>
    <t xml:space="preserve">SDDC Mgr → VCFA (SSH)</t>
  </si>
  <si>
    <t xml:space="preserve">SSH cluster nodes</t>
  </si>
  <si>
    <t xml:space="preserve">MF-15</t>
  </si>
  <si>
    <t xml:space="preserve">SDDC Mgr → VCFO (HTTPS)</t>
  </si>
  <si>
    <t xml:space="preserve">API access cluster+nodes</t>
  </si>
  <si>
    <t xml:space="preserve">MF-16</t>
  </si>
  <si>
    <t xml:space="preserve">SDDC Mgr → VCFO (SSH)</t>
  </si>
  <si>
    <t xml:space="preserve">SSH cluster+collector nodes</t>
  </si>
  <si>
    <t xml:space="preserve">MF-17</t>
  </si>
  <si>
    <t xml:space="preserve">SDDC Mgr → VOL (syslog)</t>
  </si>
  <si>
    <t xml:space="preserve">Syslog based logging</t>
  </si>
  <si>
    <t xml:space="preserve">MF-18</t>
  </si>
  <si>
    <t xml:space="preserve">SDDC Mgr → VOL (9000)</t>
  </si>
  <si>
    <t xml:space="preserve">9000</t>
  </si>
  <si>
    <t xml:space="preserve">Log ingestion API CFAPI unencrypted</t>
  </si>
  <si>
    <t xml:space="preserve">MF-19</t>
  </si>
  <si>
    <t xml:space="preserve">SDDC Mgr → VOL (HTTPS)</t>
  </si>
  <si>
    <t xml:space="preserve">Logs cluster VIP+nodes</t>
  </si>
  <si>
    <t xml:space="preserve">MF-20</t>
  </si>
  <si>
    <t xml:space="preserve">SDDC Mgr → VOL (9543)</t>
  </si>
  <si>
    <t xml:space="preserve">9543</t>
  </si>
  <si>
    <t xml:space="preserve">API access management ops</t>
  </si>
  <si>
    <t xml:space="preserve">MF-21</t>
  </si>
  <si>
    <t xml:space="preserve">SDDC Mgr → VIDB (HTTPS)</t>
  </si>
  <si>
    <t xml:space="preserve">VCF SSO API — SDDC Mgr auth</t>
  </si>
  <si>
    <t xml:space="preserve">Critical  SSO dependency</t>
  </si>
  <si>
    <t xml:space="preserve">MF-22</t>
  </si>
  <si>
    <t xml:space="preserve">SDDC Mgr → VIDB (SSH)</t>
  </si>
  <si>
    <t xml:space="preserve">SSH SSO bringup ops</t>
  </si>
  <si>
    <t xml:space="preserve">Admin — restrict to jump host</t>
  </si>
  <si>
    <t xml:space="preserve">MF-23</t>
  </si>
  <si>
    <t xml:space="preserve">ESXi → VOL (syslog)</t>
  </si>
  <si>
    <t xml:space="preserve">vSphere host syslog to VOL</t>
  </si>
  <si>
    <t xml:space="preserve">Ticket req #4 — ESXi→Fleet</t>
  </si>
  <si>
    <t xml:space="preserve">MF-24</t>
  </si>
  <si>
    <t xml:space="preserve">ESXi → VOL (syslog TLS)</t>
  </si>
  <si>
    <t xml:space="preserve">Secure syslog over TLS</t>
  </si>
  <si>
    <t xml:space="preserve">MF-25</t>
  </si>
  <si>
    <t xml:space="preserve">ESXi → VON (IPFIX)</t>
  </si>
  <si>
    <t xml:space="preserve">IPFIX flow export from ESXi</t>
  </si>
  <si>
    <t xml:space="preserve">MF-26</t>
  </si>
  <si>
    <t xml:space="preserve">ESXi (Mgmt) → VOL (syslog)</t>
  </si>
  <si>
    <t xml:space="preserve">ESXi Hosts (Mgmt Domain)</t>
  </si>
  <si>
    <t xml:space="preserve">Mgmt domain ESXi syslog</t>
  </si>
  <si>
    <t xml:space="preserve">MF-27</t>
  </si>
  <si>
    <t xml:space="preserve">ESXi (Mgmt) → VOL (TLS)</t>
  </si>
  <si>
    <t xml:space="preserve">Secure syslog TLS</t>
  </si>
  <si>
    <t xml:space="preserve">MF-28</t>
  </si>
  <si>
    <t xml:space="preserve">ICMP All → Fleet (reachability)</t>
  </si>
  <si>
    <t xml:space="preserve">All Mgmt Domain Components</t>
  </si>
  <si>
    <t xml:space="preserve">[All Mgmt IPs]</t>
  </si>
  <si>
    <t xml:space="preserve">All Fleet Components</t>
  </si>
  <si>
    <t xml:space="preserve">[All Fleet IPs]</t>
  </si>
  <si>
    <t xml:space="preserve">ICMP</t>
  </si>
  <si>
    <t xml:space="preserve">IP reachability — ping/traceroute</t>
  </si>
  <si>
    <t xml:space="preserve">ALL Fleet-level &amp; VCF instance-level — mandatory</t>
  </si>
  <si>
    <t xml:space="preserve">MF-29</t>
  </si>
  <si>
    <t xml:space="preserve">VON Collector → VON (HTTPS)</t>
  </si>
  <si>
    <t xml:space="preserve">Collector → VON bidirectional API</t>
  </si>
  <si>
    <t xml:space="preserve">MF-30</t>
  </si>
  <si>
    <t xml:space="preserve">VON Collector → NSX Manager</t>
  </si>
  <si>
    <t xml:space="preserve">Collector pulls NSX flow/topology data</t>
  </si>
  <si>
    <t xml:space="preserve">MF-31</t>
  </si>
  <si>
    <t xml:space="preserve">VON Collector → vCenter</t>
  </si>
  <si>
    <t xml:space="preserve">Collector pulls vCenter inventory</t>
  </si>
  <si>
    <t xml:space="preserve">MF-32</t>
  </si>
  <si>
    <t xml:space="preserve">SDDC Mgr → VON Collector</t>
  </si>
  <si>
    <t xml:space="preserve">SDDC lifecycle management of collector</t>
  </si>
  <si>
    <t xml:space="preserve">AES-220  |  Firewall Rules  |  Fleet → External Services</t>
  </si>
  <si>
    <t xml:space="preserve">Source IP and Destination IP auto-populate from '📋 IP Input Sheet'.  Fill in IPs there first.</t>
  </si>
  <si>
    <t xml:space="preserve">EX-01</t>
  </si>
  <si>
    <t xml:space="preserve">EX-02</t>
  </si>
  <si>
    <t xml:space="preserve">Time sync</t>
  </si>
  <si>
    <t xml:space="preserve">EX-03</t>
  </si>
  <si>
    <t xml:space="preserve">VCFO → DNS</t>
  </si>
  <si>
    <t xml:space="preserve">DNS</t>
  </si>
  <si>
    <t xml:space="preserve">Primary/Replica/Data nodes</t>
  </si>
  <si>
    <t xml:space="preserve">EX-04</t>
  </si>
  <si>
    <t xml:space="preserve">VCFO → NTP</t>
  </si>
  <si>
    <t xml:space="preserve">EX-05</t>
  </si>
  <si>
    <t xml:space="preserve">VCFO → LDAP</t>
  </si>
  <si>
    <t xml:space="preserve">EX-06</t>
  </si>
  <si>
    <t xml:space="preserve">VCFO → LDAPS</t>
  </si>
  <si>
    <t xml:space="preserve">Secure LDAP</t>
  </si>
  <si>
    <t xml:space="preserve">EX-07</t>
  </si>
  <si>
    <t xml:space="preserve">VCFO → Global Catalog</t>
  </si>
  <si>
    <t xml:space="preserve">Global Catalog</t>
  </si>
  <si>
    <t xml:space="preserve">EX-08</t>
  </si>
  <si>
    <t xml:space="preserve">VCFO → SFTP</t>
  </si>
  <si>
    <t xml:space="preserve">External backup  NOT primary</t>
  </si>
  <si>
    <t xml:space="preserve">VCF Ops does NOT use SFTP for primary backup</t>
  </si>
  <si>
    <t xml:space="preserve">EX-09</t>
  </si>
  <si>
    <t xml:space="preserve">VIDB → LDAP</t>
  </si>
  <si>
    <t xml:space="preserve">Directory lookups</t>
  </si>
  <si>
    <t xml:space="preserve">Identity Broker→AD</t>
  </si>
  <si>
    <t xml:space="preserve">EX-10</t>
  </si>
  <si>
    <t xml:space="preserve">VIDB → Secure LDAP</t>
  </si>
  <si>
    <t xml:space="preserve">EX-11</t>
  </si>
  <si>
    <t xml:space="preserve">VIDB → IdP Federation</t>
  </si>
  <si>
    <t xml:space="preserve">IdP Federation Endpoint</t>
  </si>
  <si>
    <t xml:space="preserve">[IdP Federation IP]</t>
  </si>
  <si>
    <t xml:space="preserve">SAML/OIDC/Okta/Ping/Entra ID</t>
  </si>
  <si>
    <t xml:space="preserve">External IdP — confirm IP with AMEX security team</t>
  </si>
  <si>
    <t xml:space="preserve">EX-12</t>
  </si>
  <si>
    <t xml:space="preserve">VIDB → DNS</t>
  </si>
  <si>
    <t xml:space="preserve">FQDN resolution for vCenter/NSX/SDDC</t>
  </si>
  <si>
    <t xml:space="preserve">EX-13</t>
  </si>
  <si>
    <t xml:space="preserve">VIDB → NTP</t>
  </si>
  <si>
    <t xml:space="preserve">EX-14</t>
  </si>
  <si>
    <t xml:space="preserve">VIDB → SFTP</t>
  </si>
  <si>
    <t xml:space="preserve">External backup via Fleet Mgr</t>
  </si>
  <si>
    <t xml:space="preserve">EX-15</t>
  </si>
  <si>
    <t xml:space="preserve">VIDB → CA Server</t>
  </si>
  <si>
    <t xml:space="preserve">SSL certificate  CA</t>
  </si>
  <si>
    <t xml:space="preserve">EX-16</t>
  </si>
  <si>
    <t xml:space="preserve">ICMP — Fleet→External</t>
  </si>
  <si>
    <t xml:space="preserve">[Fleet IPs]</t>
  </si>
  <si>
    <t xml:space="preserve">External Services</t>
  </si>
  <si>
    <t xml:space="preserve">[External IP]</t>
  </si>
  <si>
    <t xml:space="preserve">Reachability ping/traceroute</t>
  </si>
  <si>
    <t xml:space="preserve">ALL Fleet-level components</t>
  </si>
  <si>
    <t xml:space="preserve">AES-220  |  Route Table  |  Fleet ↔ Management Domain ↔ WLD ESXi</t>
  </si>
  <si>
    <t xml:space="preserve">Destination subnets auto-populated from ' IP Input Sheet'.  Next-hop populated once IPs are entered.</t>
  </si>
  <si>
    <t xml:space="preserve">Destination Network</t>
  </si>
  <si>
    <t xml:space="preserve">Subnet / IP</t>
  </si>
  <si>
    <t xml:space="preserve">Next Hop</t>
  </si>
  <si>
    <t xml:space="preserve">Via Interface</t>
  </si>
  <si>
    <t xml:space="preserve">Route Type</t>
  </si>
  <si>
    <t xml:space="preserve">AZ Scope</t>
  </si>
  <si>
    <t xml:space="preserve">RT-01</t>
  </si>
  <si>
    <t xml:space="preserve">Fleet Overlay Segment</t>
  </si>
  <si>
    <t xml:space="preserve">T0 Gateway (per AZ)</t>
  </si>
  <si>
    <t xml:space="preserve">NSX Overlay</t>
  </si>
  <si>
    <t xml:space="preserve">Static/NSX</t>
  </si>
  <si>
    <t xml:space="preserve">AZ1/2/3</t>
  </si>
  <si>
    <t xml:space="preserve">NSX overlay  depends on Edge/T0 health</t>
  </si>
  <si>
    <t xml:space="preserve">RT-02</t>
  </si>
  <si>
    <t xml:space="preserve">Fleet segment overlay routed</t>
  </si>
  <si>
    <t xml:space="preserve">RT-03</t>
  </si>
  <si>
    <t xml:space="preserve">VCF Operations</t>
  </si>
  <si>
    <t xml:space="preserve">Fleet segment</t>
  </si>
  <si>
    <t xml:space="preserve">RT-04</t>
  </si>
  <si>
    <t xml:space="preserve">RT-05</t>
  </si>
  <si>
    <t xml:space="preserve">VCF Ops for Logs (VOL)</t>
  </si>
  <si>
    <t xml:space="preserve">RT-06</t>
  </si>
  <si>
    <t xml:space="preserve">RT-07</t>
  </si>
  <si>
    <t xml:space="preserve">Identity Broker</t>
  </si>
  <si>
    <t xml:space="preserve">Fleet segment  SSO critical path</t>
  </si>
  <si>
    <t xml:space="preserve">RT-08</t>
  </si>
  <si>
    <t xml:space="preserve">VM Management (VLAN 2600)</t>
  </si>
  <si>
    <t xml:space="preserve">ToR Switch (per AZ)</t>
  </si>
  <si>
    <t xml:space="preserve">VLAN 2600</t>
  </si>
  <si>
    <t xml:space="preserve">VLAN/Static</t>
  </si>
  <si>
    <t xml:space="preserve">vCenter/NSX Mgr/SDDC Mgr</t>
  </si>
  <si>
    <t xml:space="preserve">VLAN-backed direct physical, no NSX dependency</t>
  </si>
  <si>
    <t xml:space="preserve">RT-09</t>
  </si>
  <si>
    <t xml:space="preserve">Static</t>
  </si>
  <si>
    <t xml:space="preserve">RT-10</t>
  </si>
  <si>
    <t xml:space="preserve">RT-11</t>
  </si>
  <si>
    <t xml:space="preserve">RT-12</t>
  </si>
  <si>
    <t xml:space="preserve">ESXi Mgmt — WLD</t>
  </si>
  <si>
    <t xml:space="preserve">vDSW01 VM Mgmt PG</t>
  </si>
  <si>
    <t xml:space="preserve">ESXi Hosts WLD</t>
  </si>
  <si>
    <t xml:space="preserve">WLD cluster hosts</t>
  </si>
  <si>
    <t xml:space="preserve">RT-13</t>
  </si>
  <si>
    <t xml:space="preserve">ESXi Mgmt — Mgmt Domain</t>
  </si>
  <si>
    <t xml:space="preserve">vDSM01 VM Mgmt PG</t>
  </si>
  <si>
    <t xml:space="preserve">ESXi Hosts Mgmt</t>
  </si>
  <si>
    <t xml:space="preserve">Mgmt domain cluster hosts</t>
  </si>
  <si>
    <t xml:space="preserve">RT-14</t>
  </si>
  <si>
    <t xml:space="preserve">NSX Edge / Uplink</t>
  </si>
  <si>
    <t xml:space="preserve">BGP Advertised</t>
  </si>
  <si>
    <t xml:space="preserve">Avi VIPs / WLD external</t>
  </si>
  <si>
    <t xml:space="preserve">VIP subnet BGP advertised via Edge to ToR</t>
  </si>
  <si>
    <t xml:space="preserve">RT-15</t>
  </si>
  <si>
    <t xml:space="preserve">Edge Node → ToR</t>
  </si>
  <si>
    <t xml:space="preserve">Uplink VLAN</t>
  </si>
  <si>
    <t xml:space="preserve">All components</t>
  </si>
  <si>
    <t xml:space="preserve">DC-wide</t>
  </si>
  <si>
    <t xml:space="preserve">Outbound via Edge N-S path</t>
  </si>
  <si>
    <t xml:space="preserve">RT-16</t>
  </si>
  <si>
    <t xml:space="preserve">RT-17</t>
  </si>
  <si>
    <t xml:space="preserve">Fleet+Mgmt components</t>
  </si>
  <si>
    <t xml:space="preserve">RT-18</t>
  </si>
  <si>
    <t xml:space="preserve">RT-19</t>
  </si>
  <si>
    <t xml:space="preserve">SDDC Mgr / VCF Ops</t>
  </si>
  <si>
    <t xml:space="preserve">RT-20</t>
  </si>
  <si>
    <t xml:space="preserve">Host TEP Subnet</t>
  </si>
  <si>
    <t xml:space="preserve">[VLAN TBD]</t>
  </si>
  <si>
    <t xml:space="preserve">Physical Fabric</t>
  </si>
  <si>
    <t xml:space="preserve">Host TEP VLAN</t>
  </si>
  <si>
    <t xml:space="preserve">VLAN</t>
  </si>
  <si>
    <t xml:space="preserve">NSX Host TEP</t>
  </si>
  <si>
    <t xml:space="preserve">Per AZ</t>
  </si>
  <si>
    <t xml:space="preserve">GENEVE encap  MTU must be 1600+</t>
  </si>
  <si>
    <t xml:space="preserve">RT-21</t>
  </si>
  <si>
    <t xml:space="preserve">Edge TEP Subnet</t>
  </si>
  <si>
    <t xml:space="preserve">VLAN 2603</t>
  </si>
  <si>
    <t xml:space="preserve">Edge TEP VLAN</t>
  </si>
  <si>
    <t xml:space="preserve">Edge nodes GENEVE tunnels</t>
  </si>
  <si>
    <t xml:space="preserve">RT-22</t>
  </si>
  <si>
    <t xml:space="preserve">Remote TEP Subnet</t>
  </si>
  <si>
    <t xml:space="preserve">VLAN 2605</t>
  </si>
  <si>
    <t xml:space="preserve">Super Spine</t>
  </si>
  <si>
    <t xml:space="preserve">RTEP VLAN</t>
  </si>
  <si>
    <t xml:space="preserve">Cross-AZ tunnels</t>
  </si>
  <si>
    <t xml:space="preserve">Cross-AZ NSX overlay RTEP</t>
  </si>
  <si>
    <t xml:space="preserve">RT-23</t>
  </si>
  <si>
    <t xml:space="preserve">[Physical]</t>
  </si>
  <si>
    <t xml:space="preserve">Physical Routing</t>
  </si>
  <si>
    <t xml:space="preserve">Uplink 2606/2607/2608/2609</t>
  </si>
  <si>
    <t xml:space="preserve">BGP</t>
  </si>
  <si>
    <t xml:space="preserve">All AZs</t>
  </si>
  <si>
    <t xml:space="preserve">BGP between Edge nodes and ToR switches</t>
  </si>
  <si>
    <t xml:space="preserve">VCF OPS Network Collector</t>
  </si>
  <si>
    <t xml:space="preserve">AZ1/AZ2</t>
  </si>
  <si>
    <t xml:space="preserve">M7 — Mgmt domain VLAN</t>
  </si>
  <si>
    <t xml:space="preserve">NSX Edge Uplink — Rack1 VLAN 2606</t>
  </si>
  <si>
    <t xml:space="preserve">ToR Rack1</t>
  </si>
  <si>
    <t xml:space="preserve">VLAN 2606 Uplink</t>
  </si>
  <si>
    <t xml:space="preserve">BGP Peer</t>
  </si>
  <si>
    <t xml:space="preserve">NSX Edge Node 1</t>
  </si>
  <si>
    <t xml:space="preserve">Edge→ToR BGP peering — same /30 subnet</t>
  </si>
  <si>
    <t xml:space="preserve">NSX Edge Uplink — Rack1 VLAN 2607</t>
  </si>
  <si>
    <t xml:space="preserve">VLAN 2607 Uplink</t>
  </si>
  <si>
    <t xml:space="preserve">NSX Edge Node 2</t>
  </si>
  <si>
    <t xml:space="preserve">NSX Edge Uplink — Rack2 VLAN 2608</t>
  </si>
  <si>
    <t xml:space="preserve">ToR Rack2</t>
  </si>
  <si>
    <t xml:space="preserve">VLAN 2608 Uplink</t>
  </si>
  <si>
    <t xml:space="preserve">Edge→ToR BGP peering</t>
  </si>
  <si>
    <t xml:space="preserve">NSX Edge Uplink — Rack2 VLAN 2609</t>
  </si>
  <si>
    <t xml:space="preserve">VLAN 2609 Uplink</t>
  </si>
  <si>
    <t xml:space="preserve">Edge TEP Subnet (VLAN 2603)</t>
  </si>
  <si>
    <t xml:space="preserve">Edge TEP VLAN 2603</t>
  </si>
  <si>
    <t xml:space="preserve">Intra-AZ HA + GENEVE — MTU 1600+</t>
  </si>
  <si>
    <t xml:space="preserve">Remote TEP — Cross-AZ (VLAN 2605)</t>
  </si>
  <si>
    <t xml:space="preserve">RTEP VLAN 2605</t>
  </si>
  <si>
    <t xml:space="preserve">Cross-AZ NSX Overlay</t>
  </si>
  <si>
    <t xml:space="preserve">AZ1↔AZ2↔AZ3 GENEVE tunnels</t>
  </si>
  <si>
    <t xml:space="preserve">ToR BGP Peer IPs</t>
  </si>
  <si>
    <t xml:space="preserve">Physical ToR Switch</t>
  </si>
  <si>
    <t xml:space="preserve">Uplink SVIs</t>
  </si>
  <si>
    <t xml:space="preserve">ToR Switch (Network Team)</t>
  </si>
  <si>
    <t xml:space="preserve">Get from network team — not Raju</t>
  </si>
  <si>
    <t xml:space="preserve">RT-E1-EU1</t>
  </si>
  <si>
    <t xml:space="preserve">Edge 1 EU1 (VLAN 2606 Rack 1)</t>
  </si>
  <si>
    <t xml:space="preserve">ToR Rack 1 (EU11)</t>
  </si>
  <si>
    <t xml:space="preserve">VLAN 2606 SVI</t>
  </si>
  <si>
    <t xml:space="preserve">NSX Edge 1</t>
  </si>
  <si>
    <t xml:space="preserve">EU1↔EU11</t>
  </si>
  <si>
    <t xml:space="preserve">RT-E1-EU2</t>
  </si>
  <si>
    <t xml:space="preserve">Edge 1 EU2 (VLAN 2607 Rack 1)</t>
  </si>
  <si>
    <t xml:space="preserve">ToR Rack 1 (EU12)</t>
  </si>
  <si>
    <t xml:space="preserve">VLAN 2607 SVI</t>
  </si>
  <si>
    <t xml:space="preserve">EU2↔EU12</t>
  </si>
  <si>
    <t xml:space="preserve">RT-E2-EU3</t>
  </si>
  <si>
    <t xml:space="preserve">Edge 2 EU3 (VLAN 2606 Rack 1)</t>
  </si>
  <si>
    <t xml:space="preserve">NSX Edge 2</t>
  </si>
  <si>
    <t xml:space="preserve">EU3↔EU11</t>
  </si>
  <si>
    <t xml:space="preserve">RT-E2-EU4</t>
  </si>
  <si>
    <t xml:space="preserve">Edge 2 EU4 (VLAN 2607 Rack 1)</t>
  </si>
  <si>
    <t xml:space="preserve">EU4↔EU12</t>
  </si>
  <si>
    <t xml:space="preserve">RT-E3-EU5</t>
  </si>
  <si>
    <t xml:space="preserve">Edge 3 EU5 (VLAN 2608 Rack 2)</t>
  </si>
  <si>
    <t xml:space="preserve">ToR Rack 2 (EU13)</t>
  </si>
  <si>
    <t xml:space="preserve">VLAN 2608 SVI</t>
  </si>
  <si>
    <t xml:space="preserve">NSX Edge 3</t>
  </si>
  <si>
    <t xml:space="preserve">EU5↔EU13</t>
  </si>
  <si>
    <t xml:space="preserve">RT-E3-EU6</t>
  </si>
  <si>
    <t xml:space="preserve">Edge 3 EU6 (VLAN 2609 Rack 2)</t>
  </si>
  <si>
    <t xml:space="preserve">ToR Rack 2 (EU14)</t>
  </si>
  <si>
    <t xml:space="preserve">VLAN 2609 SVI</t>
  </si>
  <si>
    <t xml:space="preserve">EU6↔EU14</t>
  </si>
  <si>
    <t xml:space="preserve">RT-E4-EU7</t>
  </si>
  <si>
    <t xml:space="preserve">Edge 4 EU7 (VLAN 2608 Rack 2)</t>
  </si>
  <si>
    <t xml:space="preserve">NSX Edge 4</t>
  </si>
  <si>
    <t xml:space="preserve">EU7↔EU13</t>
  </si>
  <si>
    <t xml:space="preserve">RT-E4-EU8</t>
  </si>
  <si>
    <t xml:space="preserve">Edge 4 EU8 (VLAN 2609 Rack 2)</t>
  </si>
  <si>
    <t xml:space="preserve">EU8↔EU14</t>
  </si>
  <si>
    <t xml:space="preserve">RT-TEP</t>
  </si>
  <si>
    <t xml:space="preserve">EU9 — GENEVE intra-AZ MTU 1600+</t>
  </si>
  <si>
    <t xml:space="preserve">RT-RTEP</t>
  </si>
  <si>
    <t xml:space="preserve">Remote TEP Subnet (VLAN 2605)</t>
  </si>
  <si>
    <t xml:space="preserve">Cross-AZ Overlay</t>
  </si>
  <si>
    <t xml:space="preserve">EU10 — AZ1↔AZ2↔AZ3</t>
  </si>
  <si>
    <t xml:space="preserve">AES-220  |  Unique Port Reference  |  All Fleet Firewall Ports Consolidated</t>
  </si>
  <si>
    <t xml:space="preserve">Service</t>
  </si>
  <si>
    <t xml:space="preserve">Used By (Source)</t>
  </si>
  <si>
    <t xml:space="preserve">Used By (Destination)</t>
  </si>
  <si>
    <t xml:space="preserve">VCF Installer, SDDC Mgr, Fleet Mgr, VCFA, VCFO</t>
  </si>
  <si>
    <t xml:space="preserve">ESXi, SDDC Mgr, Fleet VMs, SFTP</t>
  </si>
  <si>
    <t xml:space="preserve">Admin only restrict to jump host / bastion</t>
  </si>
  <si>
    <t xml:space="preserve">50</t>
  </si>
  <si>
    <t xml:space="preserve">ESP</t>
  </si>
  <si>
    <t xml:space="preserve">Encapsulating Security Payload</t>
  </si>
  <si>
    <t xml:space="preserve">ALL</t>
  </si>
  <si>
    <t xml:space="preserve">Used by k8s to encapsulate hidden networks — bidirectional</t>
  </si>
  <si>
    <t xml:space="preserve">All Fleet + VCF Components</t>
  </si>
  <si>
    <t xml:space="preserve">DNS Servers</t>
  </si>
  <si>
    <t xml:space="preserve">Bidirectional  ALL Fleet-level and VCF instance-level</t>
  </si>
  <si>
    <t xml:space="preserve">NTP</t>
  </si>
  <si>
    <t xml:space="preserve">NTP Servers</t>
  </si>
  <si>
    <t xml:space="preserve">Time sync  ALL VCF 9 components</t>
  </si>
  <si>
    <t xml:space="preserve">SNMP</t>
  </si>
  <si>
    <t xml:space="preserve">Switches/Routers</t>
  </si>
  <si>
    <t xml:space="preserve">SNMP polling physical devices</t>
  </si>
  <si>
    <t xml:space="preserve">LDAP</t>
  </si>
  <si>
    <t xml:space="preserve">VCF Ops, Identity Broker, vCenter</t>
  </si>
  <si>
    <t xml:space="preserve">AD/LDAP Servers</t>
  </si>
  <si>
    <t xml:space="preserve">Directory lookups Active Directory integration</t>
  </si>
  <si>
    <t xml:space="preserve">HTTPS</t>
  </si>
  <si>
    <t xml:space="preserve">All Fleet + Mgmt Components</t>
  </si>
  <si>
    <t xml:space="preserve">Primary management port  most component comms</t>
  </si>
  <si>
    <t xml:space="preserve">Syslog</t>
  </si>
  <si>
    <t xml:space="preserve">vCenter, NSX, SDDC, ESXi, VCFA</t>
  </si>
  <si>
    <t xml:space="preserve">Remote syslog  all components log to VOL</t>
  </si>
  <si>
    <t xml:space="preserve">LDAPS</t>
  </si>
  <si>
    <t xml:space="preserve">Heartbeat / VMRC</t>
  </si>
  <si>
    <t xml:space="preserve">vCenter, VCF Automation</t>
  </si>
  <si>
    <t xml:space="preserve">ESXi Hosts</t>
  </si>
  <si>
    <t xml:space="preserve">Core mgmt comms vCenter↔ESXi + VM console</t>
  </si>
  <si>
    <t xml:space="preserve">vCenter, NSX, ESXi, VCFA</t>
  </si>
  <si>
    <t xml:space="preserve">IPFIX (deprecated)</t>
  </si>
  <si>
    <t xml:space="preserve">vCenter, VON</t>
  </si>
  <si>
    <t xml:space="preserve">vDS/NSX</t>
  </si>
  <si>
    <t xml:space="preserve">Deprecated use port 4739 instead</t>
  </si>
  <si>
    <t xml:space="preserve">AD Global Catalog lookup</t>
  </si>
  <si>
    <t xml:space="preserve">IPFIX + NETFLOW</t>
  </si>
  <si>
    <t xml:space="preserve">ESXi, VON</t>
  </si>
  <si>
    <t xml:space="preserve">VON, NSX</t>
  </si>
  <si>
    <t xml:space="preserve">Flow analysis replace 2055</t>
  </si>
  <si>
    <t xml:space="preserve">Kubernetes API</t>
  </si>
  <si>
    <t xml:space="preserve">Fleet Mgr, VCF Automation</t>
  </si>
  <si>
    <t xml:space="preserve">Identity Broker, VCFA</t>
  </si>
  <si>
    <t xml:space="preserve">Kubernetes control plane API server</t>
  </si>
  <si>
    <t xml:space="preserve">Syslog over SSL</t>
  </si>
  <si>
    <t xml:space="preserve">NSX Manager, VCFA</t>
  </si>
  <si>
    <t xml:space="preserve">VCF Ops for Logs</t>
  </si>
  <si>
    <t xml:space="preserve">Syslog SSL</t>
  </si>
  <si>
    <t xml:space="preserve">Health Check</t>
  </si>
  <si>
    <t xml:space="preserve">VCFA health monitoring</t>
  </si>
  <si>
    <t xml:space="preserve">VCF Installer, SDDC Mgr</t>
  </si>
  <si>
    <t xml:space="preserve">SDDC Manager, VCFO</t>
  </si>
  <si>
    <t xml:space="preserve">Internal service comms bringup</t>
  </si>
  <si>
    <t xml:space="preserve">Log Ingestion API</t>
  </si>
  <si>
    <t xml:space="preserve">SDDC Mgr, VCFA</t>
  </si>
  <si>
    <t xml:space="preserve">CFAPI — unencrypted; prefer 9543</t>
  </si>
  <si>
    <t xml:space="preserve">9443</t>
  </si>
  <si>
    <t xml:space="preserve">Lifecycle Mgmt</t>
  </si>
  <si>
    <t xml:space="preserve">VCF Installer</t>
  </si>
  <si>
    <t xml:space="preserve">vSphere webclient + LCM bringup</t>
  </si>
  <si>
    <t xml:space="preserve">Secure Log Ingestion</t>
  </si>
  <si>
    <t xml:space="preserve">CFAPI over SSL — preferred over 9000</t>
  </si>
  <si>
    <t xml:space="preserve">vCenter Inventory</t>
  </si>
  <si>
    <t xml:space="preserve">Inventory service</t>
  </si>
  <si>
    <t xml:space="preserve">Container Images</t>
  </si>
  <si>
    <t xml:space="preserve">Fleet Mgr</t>
  </si>
  <si>
    <t xml:space="preserve">VCFA + VIDB</t>
  </si>
  <si>
    <t xml:space="preserve">k8s/VKS OCI registry</t>
  </si>
  <si>
    <t xml:space="preserve">VCFA/VIDB API</t>
  </si>
  <si>
    <t xml:space="preserve">Webhooks  day2 ops triggers</t>
  </si>
  <si>
    <t xml:space="preserve">Health Validation</t>
  </si>
  <si>
    <t xml:space="preserve">Pre-LCM health check</t>
  </si>
  <si>
    <t xml:space="preserve">Ping/Traceroute</t>
  </si>
  <si>
    <t xml:space="preserve">ALL Fleet + Mgmt Components</t>
  </si>
  <si>
    <t xml:space="preserve">MANDATORY  ALL fleet-level &amp; VCF instance-level components</t>
  </si>
  <si>
    <t xml:space="preserve">NSX Edge Nodes</t>
  </si>
  <si>
    <t xml:space="preserve">ToR Switches (BGP Peers)</t>
  </si>
  <si>
    <t xml:space="preserve">Edge→ToR BGP peering — must be allowed at Gateway FW</t>
  </si>
  <si>
    <t xml:space="preserve">3784/3785</t>
  </si>
  <si>
    <t xml:space="preserve">BFD</t>
  </si>
  <si>
    <t xml:space="preserve">ToR Switches</t>
  </si>
  <si>
    <t xml:space="preserve">Bidirectional Forwarding Detection — fast BGP failover</t>
  </si>
  <si>
    <t xml:space="preserve">4789</t>
  </si>
  <si>
    <t xml:space="preserve">GENEVE/VXLAN TEP</t>
  </si>
  <si>
    <t xml:space="preserve">Overlay encapsulation — MTU 1600+ required</t>
  </si>
  <si>
    <t xml:space="preserve">NSX Edge Uplinks (EU1–EU8)</t>
  </si>
  <si>
    <t xml:space="preserve">ToR BGP Peer (EU11)</t>
  </si>
  <si>
    <t xml:space="preserve">Edge→ToR BGP peering — bidirectional, must be allowed on Gateway FW</t>
  </si>
  <si>
    <t xml:space="preserve">GENEVE Overlay</t>
  </si>
  <si>
    <t xml:space="preserve">Edge TEP (EU9) / Remote TEP (EU10)</t>
  </si>
  <si>
    <t xml:space="preserve">Host TEP / Peer Edge TEP</t>
  </si>
  <si>
    <t xml:space="preserve">NSX overlay encapsulation — MTU 1600+ required</t>
  </si>
  <si>
    <t xml:space="preserve">NSX Edge Uplinks</t>
  </si>
  <si>
    <t xml:space="preserve">ToR BGP Peer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</si>
</sst>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7F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7F6000"/>
      <name val="Arial"/>
      <family val="2"/>
      <charset val="1"/>
    </font>
    <font>
      <sz val="9"/>
      <color rgb="FF7F6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4" topLeftCell="D25" activePane="bottomLeft" state="frozen"/>
      <selection pane="topLeft" activeCell="A1" activeCellId="0" sqref="A1"/>
      <selection pane="bottomLeft" activeCell="E19" activeCellId="0" sqref="E19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5"/>
    <col collapsed="false" customWidth="true" hidden="false" outlineLevel="0" max="6" min="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1.75" hidden="false" customHeight="true" outlineLevel="0" collapsed="false">
      <c r="A4" s="4" t="s">
        <v>8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5" t="s">
        <v>9</v>
      </c>
      <c r="B5" s="5" t="s">
        <v>10</v>
      </c>
      <c r="C5" s="5" t="s">
        <v>11</v>
      </c>
      <c r="D5" s="6" t="s">
        <v>12</v>
      </c>
      <c r="E5" s="6" t="s">
        <v>13</v>
      </c>
      <c r="F5" s="6"/>
    </row>
    <row r="6" customFormat="false" ht="18" hidden="false" customHeight="true" outlineLevel="0" collapsed="false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/>
    </row>
    <row r="7" customFormat="false" ht="18" hidden="false" customHeight="true" outlineLevel="0" collapsed="false">
      <c r="A7" s="5" t="s">
        <v>18</v>
      </c>
      <c r="B7" s="5" t="s">
        <v>19</v>
      </c>
      <c r="C7" s="5" t="s">
        <v>20</v>
      </c>
      <c r="D7" s="6" t="s">
        <v>17</v>
      </c>
      <c r="E7" s="6"/>
      <c r="F7" s="6"/>
    </row>
    <row r="8" customFormat="false" ht="18" hidden="false" customHeight="true" outlineLevel="0" collapsed="false">
      <c r="A8" s="5" t="s">
        <v>21</v>
      </c>
      <c r="B8" s="5" t="s">
        <v>22</v>
      </c>
      <c r="C8" s="5" t="s">
        <v>23</v>
      </c>
      <c r="D8" s="6" t="s">
        <v>17</v>
      </c>
      <c r="E8" s="6"/>
      <c r="F8" s="6"/>
    </row>
    <row r="9" customFormat="false" ht="18" hidden="false" customHeight="true" outlineLevel="0" collapsed="false">
      <c r="A9" s="5" t="s">
        <v>24</v>
      </c>
      <c r="B9" s="5" t="s">
        <v>25</v>
      </c>
      <c r="C9" s="5" t="s">
        <v>26</v>
      </c>
      <c r="D9" s="6" t="s">
        <v>17</v>
      </c>
      <c r="E9" s="6"/>
      <c r="F9" s="6"/>
    </row>
    <row r="10" customFormat="false" ht="18" hidden="false" customHeight="true" outlineLevel="0" collapsed="false">
      <c r="A10" s="5" t="s">
        <v>27</v>
      </c>
      <c r="B10" s="5" t="s">
        <v>28</v>
      </c>
      <c r="C10" s="5" t="s">
        <v>29</v>
      </c>
      <c r="D10" s="6" t="s">
        <v>30</v>
      </c>
      <c r="E10" s="6" t="s">
        <v>31</v>
      </c>
      <c r="F10" s="6"/>
    </row>
    <row r="11" customFormat="false" ht="18" hidden="false" customHeight="true" outlineLevel="0" collapsed="false">
      <c r="A11" s="5" t="s">
        <v>32</v>
      </c>
      <c r="B11" s="5" t="s">
        <v>33</v>
      </c>
      <c r="C11" s="5" t="s">
        <v>34</v>
      </c>
      <c r="D11" s="6" t="s">
        <v>17</v>
      </c>
      <c r="E11" s="6" t="s">
        <v>17</v>
      </c>
      <c r="F11" s="6"/>
    </row>
    <row r="12" customFormat="false" ht="21.75" hidden="false" customHeight="true" outlineLevel="0" collapsed="false">
      <c r="A12" s="4" t="s">
        <v>35</v>
      </c>
      <c r="B12" s="4"/>
      <c r="C12" s="4"/>
      <c r="D12" s="4"/>
      <c r="E12" s="4"/>
      <c r="F12" s="4"/>
    </row>
    <row r="13" customFormat="false" ht="18" hidden="false" customHeight="true" outlineLevel="0" collapsed="false">
      <c r="A13" s="5" t="s">
        <v>36</v>
      </c>
      <c r="B13" s="5" t="s">
        <v>37</v>
      </c>
      <c r="C13" s="5" t="s">
        <v>38</v>
      </c>
      <c r="D13" s="6" t="s">
        <v>39</v>
      </c>
      <c r="E13" s="6" t="s">
        <v>40</v>
      </c>
      <c r="F13" s="6"/>
    </row>
    <row r="14" customFormat="false" ht="18" hidden="false" customHeight="true" outlineLevel="0" collapsed="false">
      <c r="A14" s="5" t="s">
        <v>41</v>
      </c>
      <c r="B14" s="5" t="s">
        <v>42</v>
      </c>
      <c r="C14" s="5" t="s">
        <v>43</v>
      </c>
      <c r="D14" s="6" t="s">
        <v>30</v>
      </c>
      <c r="E14" s="6" t="s">
        <v>31</v>
      </c>
      <c r="F14" s="6"/>
    </row>
    <row r="15" customFormat="false" ht="18" hidden="false" customHeight="true" outlineLevel="0" collapsed="false">
      <c r="A15" s="5" t="s">
        <v>44</v>
      </c>
      <c r="B15" s="5" t="s">
        <v>45</v>
      </c>
      <c r="C15" s="5" t="s">
        <v>46</v>
      </c>
      <c r="D15" s="6" t="s">
        <v>30</v>
      </c>
      <c r="E15" s="6" t="s">
        <v>31</v>
      </c>
      <c r="F15" s="6"/>
    </row>
    <row r="16" customFormat="false" ht="18" hidden="false" customHeight="true" outlineLevel="0" collapsed="false">
      <c r="A16" s="5" t="s">
        <v>47</v>
      </c>
      <c r="B16" s="5" t="s">
        <v>48</v>
      </c>
      <c r="C16" s="5" t="s">
        <v>49</v>
      </c>
      <c r="D16" s="6" t="s">
        <v>50</v>
      </c>
      <c r="E16" s="6" t="s">
        <v>51</v>
      </c>
      <c r="F16" s="6"/>
    </row>
    <row r="17" customFormat="false" ht="18" hidden="false" customHeight="true" outlineLevel="0" collapsed="false">
      <c r="A17" s="5" t="s">
        <v>52</v>
      </c>
      <c r="B17" s="5" t="s">
        <v>53</v>
      </c>
      <c r="C17" s="5" t="s">
        <v>54</v>
      </c>
      <c r="D17" s="6" t="s">
        <v>55</v>
      </c>
      <c r="E17" s="6" t="s">
        <v>56</v>
      </c>
      <c r="F17" s="6"/>
    </row>
    <row r="18" customFormat="false" ht="18" hidden="false" customHeight="true" outlineLevel="0" collapsed="false">
      <c r="A18" s="5" t="s">
        <v>57</v>
      </c>
      <c r="B18" s="5" t="s">
        <v>58</v>
      </c>
      <c r="C18" s="5" t="s">
        <v>59</v>
      </c>
      <c r="D18" s="6" t="s">
        <v>30</v>
      </c>
      <c r="E18" s="6" t="s">
        <v>31</v>
      </c>
      <c r="F18" s="6" t="s">
        <v>60</v>
      </c>
    </row>
    <row r="19" customFormat="false" ht="18" hidden="false" customHeight="true" outlineLevel="0" collapsed="false">
      <c r="A19" s="5" t="s">
        <v>61</v>
      </c>
      <c r="B19" s="5" t="s">
        <v>62</v>
      </c>
      <c r="C19" s="5" t="s">
        <v>63</v>
      </c>
      <c r="D19" s="7" t="s">
        <v>64</v>
      </c>
      <c r="E19" s="7"/>
      <c r="F19" s="7"/>
    </row>
    <row r="20" customFormat="false" ht="21.75" hidden="false" customHeight="true" outlineLevel="0" collapsed="false">
      <c r="A20" s="8" t="s">
        <v>65</v>
      </c>
      <c r="B20" s="8"/>
      <c r="C20" s="8"/>
      <c r="D20" s="8"/>
      <c r="E20" s="8"/>
      <c r="F20" s="8"/>
    </row>
    <row r="21" customFormat="false" ht="18" hidden="false" customHeight="true" outlineLevel="0" collapsed="false">
      <c r="A21" s="9" t="s">
        <v>66</v>
      </c>
      <c r="B21" s="9" t="s">
        <v>67</v>
      </c>
      <c r="C21" s="9" t="s">
        <v>68</v>
      </c>
      <c r="D21" s="7" t="s">
        <v>69</v>
      </c>
      <c r="E21" s="7" t="s">
        <v>70</v>
      </c>
      <c r="F21" s="7"/>
    </row>
    <row r="22" customFormat="false" ht="18" hidden="false" customHeight="true" outlineLevel="0" collapsed="false">
      <c r="A22" s="9" t="s">
        <v>71</v>
      </c>
      <c r="B22" s="9" t="s">
        <v>72</v>
      </c>
      <c r="C22" s="9" t="s">
        <v>73</v>
      </c>
      <c r="D22" s="7" t="s">
        <v>74</v>
      </c>
      <c r="E22" s="7" t="s">
        <v>75</v>
      </c>
      <c r="F22" s="7"/>
    </row>
    <row r="23" customFormat="false" ht="18" hidden="false" customHeight="true" outlineLevel="0" collapsed="false">
      <c r="A23" s="9" t="s">
        <v>76</v>
      </c>
      <c r="B23" s="9" t="s">
        <v>77</v>
      </c>
      <c r="C23" s="9" t="s">
        <v>78</v>
      </c>
      <c r="D23" s="7" t="s">
        <v>79</v>
      </c>
      <c r="E23" s="7" t="s">
        <v>80</v>
      </c>
      <c r="F23" s="7"/>
    </row>
    <row r="24" customFormat="false" ht="18" hidden="false" customHeight="true" outlineLevel="0" collapsed="false">
      <c r="A24" s="9" t="s">
        <v>81</v>
      </c>
      <c r="B24" s="9" t="s">
        <v>82</v>
      </c>
      <c r="C24" s="9" t="s">
        <v>83</v>
      </c>
      <c r="D24" s="7" t="s">
        <v>84</v>
      </c>
      <c r="E24" s="7" t="s">
        <v>85</v>
      </c>
      <c r="F24" s="7"/>
    </row>
    <row r="25" customFormat="false" ht="18" hidden="false" customHeight="true" outlineLevel="0" collapsed="false">
      <c r="A25" s="9" t="s">
        <v>86</v>
      </c>
      <c r="B25" s="9" t="s">
        <v>87</v>
      </c>
      <c r="C25" s="9" t="s">
        <v>88</v>
      </c>
      <c r="D25" s="7" t="s">
        <v>89</v>
      </c>
      <c r="E25" s="7" t="s">
        <v>90</v>
      </c>
      <c r="F25" s="7"/>
    </row>
    <row r="26" customFormat="false" ht="18" hidden="false" customHeight="true" outlineLevel="0" collapsed="false">
      <c r="A26" s="9" t="s">
        <v>91</v>
      </c>
      <c r="B26" s="9" t="s">
        <v>92</v>
      </c>
      <c r="C26" s="9" t="s">
        <v>93</v>
      </c>
      <c r="D26" s="7" t="s">
        <v>94</v>
      </c>
      <c r="E26" s="7" t="s">
        <v>95</v>
      </c>
      <c r="F26" s="7"/>
    </row>
    <row r="27" customFormat="false" ht="18" hidden="false" customHeight="true" outlineLevel="0" collapsed="false">
      <c r="A27" s="9" t="s">
        <v>96</v>
      </c>
      <c r="B27" s="9" t="s">
        <v>97</v>
      </c>
      <c r="C27" s="9" t="s">
        <v>98</v>
      </c>
      <c r="D27" s="7" t="s">
        <v>99</v>
      </c>
      <c r="E27" s="7" t="s">
        <v>100</v>
      </c>
      <c r="F27" s="7"/>
    </row>
    <row r="28" customFormat="false" ht="18" hidden="false" customHeight="true" outlineLevel="0" collapsed="false">
      <c r="A28" s="9" t="s">
        <v>101</v>
      </c>
      <c r="B28" s="9" t="s">
        <v>102</v>
      </c>
      <c r="C28" s="9" t="s">
        <v>103</v>
      </c>
      <c r="D28" s="7" t="s">
        <v>104</v>
      </c>
      <c r="E28" s="7" t="s">
        <v>105</v>
      </c>
      <c r="F28" s="7"/>
    </row>
    <row r="29" customFormat="false" ht="18" hidden="false" customHeight="true" outlineLevel="0" collapsed="false">
      <c r="A29" s="9" t="s">
        <v>106</v>
      </c>
      <c r="B29" s="9" t="s">
        <v>107</v>
      </c>
      <c r="C29" s="9" t="s">
        <v>108</v>
      </c>
      <c r="D29" s="7" t="s">
        <v>109</v>
      </c>
      <c r="E29" s="7" t="s">
        <v>110</v>
      </c>
      <c r="F29" s="7"/>
    </row>
    <row r="30" customFormat="false" ht="18" hidden="false" customHeight="true" outlineLevel="0" collapsed="false">
      <c r="A30" s="9" t="s">
        <v>111</v>
      </c>
      <c r="B30" s="9" t="s">
        <v>112</v>
      </c>
      <c r="C30" s="9" t="s">
        <v>113</v>
      </c>
      <c r="D30" s="7" t="s">
        <v>114</v>
      </c>
      <c r="E30" s="7" t="s">
        <v>115</v>
      </c>
      <c r="F30" s="7"/>
    </row>
    <row r="31" customFormat="false" ht="18" hidden="false" customHeight="true" outlineLevel="0" collapsed="false">
      <c r="A31" s="9" t="s">
        <v>116</v>
      </c>
      <c r="B31" s="9" t="s">
        <v>117</v>
      </c>
      <c r="C31" s="9" t="s">
        <v>118</v>
      </c>
      <c r="D31" s="7" t="s">
        <v>119</v>
      </c>
      <c r="E31" s="7" t="s">
        <v>120</v>
      </c>
      <c r="F31" s="7"/>
    </row>
    <row r="32" customFormat="false" ht="18" hidden="false" customHeight="true" outlineLevel="0" collapsed="false">
      <c r="A32" s="9" t="s">
        <v>121</v>
      </c>
      <c r="B32" s="9" t="s">
        <v>122</v>
      </c>
      <c r="C32" s="9" t="s">
        <v>123</v>
      </c>
      <c r="D32" s="7" t="s">
        <v>124</v>
      </c>
      <c r="E32" s="7" t="s">
        <v>75</v>
      </c>
      <c r="F32" s="7"/>
    </row>
    <row r="33" customFormat="false" ht="18" hidden="false" customHeight="true" outlineLevel="0" collapsed="false">
      <c r="A33" s="9" t="s">
        <v>125</v>
      </c>
      <c r="B33" s="9" t="s">
        <v>126</v>
      </c>
      <c r="C33" s="9" t="s">
        <v>127</v>
      </c>
      <c r="D33" s="7" t="s">
        <v>128</v>
      </c>
      <c r="E33" s="7" t="s">
        <v>129</v>
      </c>
      <c r="F33" s="7"/>
    </row>
    <row r="34" customFormat="false" ht="18" hidden="false" customHeight="true" outlineLevel="0" collapsed="false">
      <c r="A34" s="9" t="s">
        <v>130</v>
      </c>
      <c r="B34" s="9" t="s">
        <v>131</v>
      </c>
      <c r="C34" s="9" t="s">
        <v>132</v>
      </c>
      <c r="D34" s="7" t="s">
        <v>133</v>
      </c>
      <c r="E34" s="7" t="s">
        <v>134</v>
      </c>
      <c r="F34" s="7"/>
    </row>
    <row r="35" customFormat="false" ht="21.75" hidden="false" customHeight="true" outlineLevel="0" collapsed="false">
      <c r="A35" s="10" t="s">
        <v>135</v>
      </c>
      <c r="B35" s="10"/>
      <c r="C35" s="10"/>
      <c r="D35" s="10"/>
      <c r="E35" s="10"/>
      <c r="F35" s="10"/>
    </row>
    <row r="36" customFormat="false" ht="18" hidden="false" customHeight="true" outlineLevel="0" collapsed="false">
      <c r="A36" s="9" t="s">
        <v>136</v>
      </c>
      <c r="B36" s="9" t="s">
        <v>137</v>
      </c>
      <c r="C36" s="9" t="s">
        <v>138</v>
      </c>
      <c r="D36" s="7" t="s">
        <v>30</v>
      </c>
      <c r="E36" s="7"/>
      <c r="F36" s="7"/>
    </row>
    <row r="37" customFormat="false" ht="18" hidden="false" customHeight="true" outlineLevel="0" collapsed="false">
      <c r="A37" s="9" t="s">
        <v>139</v>
      </c>
      <c r="B37" s="9" t="s">
        <v>140</v>
      </c>
      <c r="C37" s="9" t="s">
        <v>141</v>
      </c>
      <c r="D37" s="7"/>
      <c r="E37" s="7"/>
      <c r="F37" s="7"/>
    </row>
    <row r="38" customFormat="false" ht="18" hidden="false" customHeight="true" outlineLevel="0" collapsed="false">
      <c r="A38" s="9" t="s">
        <v>142</v>
      </c>
      <c r="B38" s="9" t="s">
        <v>143</v>
      </c>
      <c r="C38" s="9" t="s">
        <v>144</v>
      </c>
      <c r="D38" s="7"/>
      <c r="E38" s="7"/>
      <c r="F38" s="7"/>
    </row>
    <row r="39" customFormat="false" ht="18" hidden="false" customHeight="true" outlineLevel="0" collapsed="false">
      <c r="A39" s="9" t="s">
        <v>145</v>
      </c>
      <c r="B39" s="9" t="s">
        <v>146</v>
      </c>
      <c r="C39" s="9" t="s">
        <v>147</v>
      </c>
      <c r="D39" s="7"/>
      <c r="E39" s="7"/>
      <c r="F39" s="7"/>
    </row>
    <row r="40" customFormat="false" ht="18" hidden="false" customHeight="true" outlineLevel="0" collapsed="false">
      <c r="A40" s="9" t="s">
        <v>148</v>
      </c>
      <c r="B40" s="9" t="s">
        <v>149</v>
      </c>
      <c r="C40" s="9" t="s">
        <v>150</v>
      </c>
      <c r="D40" s="7"/>
      <c r="E40" s="7"/>
      <c r="F40" s="7"/>
    </row>
    <row r="41" customFormat="false" ht="21.75" hidden="false" customHeight="true" outlineLevel="0" collapsed="false">
      <c r="A41" s="10" t="s">
        <v>151</v>
      </c>
      <c r="B41" s="10"/>
      <c r="C41" s="10"/>
      <c r="D41" s="10"/>
      <c r="E41" s="10"/>
      <c r="F41" s="10"/>
    </row>
    <row r="42" customFormat="false" ht="18" hidden="false" customHeight="true" outlineLevel="0" collapsed="false">
      <c r="A42" s="9" t="s">
        <v>152</v>
      </c>
      <c r="B42" s="9" t="s">
        <v>153</v>
      </c>
      <c r="C42" s="9" t="s">
        <v>154</v>
      </c>
      <c r="D42" s="7"/>
      <c r="E42" s="11" t="s">
        <v>155</v>
      </c>
      <c r="F42" s="11" t="s">
        <v>155</v>
      </c>
    </row>
    <row r="43" customFormat="false" ht="18" hidden="false" customHeight="true" outlineLevel="0" collapsed="false">
      <c r="A43" s="9" t="s">
        <v>156</v>
      </c>
      <c r="B43" s="9" t="s">
        <v>157</v>
      </c>
      <c r="C43" s="9" t="s">
        <v>158</v>
      </c>
      <c r="D43" s="7"/>
      <c r="E43" s="11" t="s">
        <v>155</v>
      </c>
      <c r="F43" s="11" t="s">
        <v>155</v>
      </c>
    </row>
    <row r="44" customFormat="false" ht="18" hidden="false" customHeight="true" outlineLevel="0" collapsed="false">
      <c r="A44" s="9" t="s">
        <v>159</v>
      </c>
      <c r="B44" s="9" t="s">
        <v>160</v>
      </c>
      <c r="C44" s="9" t="s">
        <v>161</v>
      </c>
      <c r="D44" s="7"/>
      <c r="E44" s="11" t="s">
        <v>155</v>
      </c>
      <c r="F44" s="11" t="s">
        <v>155</v>
      </c>
    </row>
    <row r="45" customFormat="false" ht="18" hidden="false" customHeight="true" outlineLevel="0" collapsed="false">
      <c r="A45" s="9" t="s">
        <v>162</v>
      </c>
      <c r="B45" s="9" t="s">
        <v>163</v>
      </c>
      <c r="C45" s="9" t="s">
        <v>164</v>
      </c>
      <c r="D45" s="7"/>
      <c r="E45" s="11" t="s">
        <v>155</v>
      </c>
      <c r="F45" s="11" t="s">
        <v>155</v>
      </c>
    </row>
    <row r="46" customFormat="false" ht="18" hidden="false" customHeight="true" outlineLevel="0" collapsed="false">
      <c r="A46" s="9" t="s">
        <v>165</v>
      </c>
      <c r="B46" s="9" t="s">
        <v>166</v>
      </c>
      <c r="C46" s="9" t="s">
        <v>167</v>
      </c>
      <c r="D46" s="7"/>
      <c r="E46" s="11" t="s">
        <v>155</v>
      </c>
      <c r="F46" s="11" t="s">
        <v>155</v>
      </c>
    </row>
    <row r="47" customFormat="false" ht="18" hidden="false" customHeight="true" outlineLevel="0" collapsed="false">
      <c r="A47" s="9" t="s">
        <v>168</v>
      </c>
      <c r="B47" s="9" t="s">
        <v>169</v>
      </c>
      <c r="C47" s="9" t="s">
        <v>170</v>
      </c>
      <c r="D47" s="7"/>
      <c r="E47" s="11" t="s">
        <v>155</v>
      </c>
      <c r="F47" s="11" t="s">
        <v>155</v>
      </c>
    </row>
    <row r="48" customFormat="false" ht="15.75" hidden="false" customHeight="true" outlineLevel="0" collapsed="false"/>
    <row r="49" customFormat="false" ht="18" hidden="false" customHeight="true" outlineLevel="0" collapsed="false">
      <c r="A49" s="9" t="s">
        <v>171</v>
      </c>
      <c r="B49" s="9" t="s">
        <v>172</v>
      </c>
      <c r="C49" s="9" t="s">
        <v>173</v>
      </c>
      <c r="D49" s="7"/>
      <c r="E49" s="11" t="s">
        <v>155</v>
      </c>
      <c r="F49" s="11" t="s">
        <v>155</v>
      </c>
    </row>
    <row r="50" customFormat="false" ht="15.75" hidden="false" customHeight="true" outlineLevel="0" collapsed="false">
      <c r="A50" s="12"/>
      <c r="B50" s="12"/>
      <c r="C50" s="13"/>
      <c r="D50" s="13"/>
      <c r="E50" s="14"/>
      <c r="F50" s="13"/>
    </row>
    <row r="51" customFormat="false" ht="15.75" hidden="false" customHeight="true" outlineLevel="0" collapsed="false">
      <c r="A51" s="13"/>
      <c r="B51" s="12"/>
      <c r="C51" s="13"/>
      <c r="D51" s="13"/>
      <c r="E51" s="13"/>
      <c r="F51" s="13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>
      <c r="A54" s="15"/>
      <c r="B54" s="15"/>
      <c r="C54" s="15"/>
      <c r="D54" s="16"/>
      <c r="E54" s="16"/>
      <c r="F54" s="17"/>
    </row>
    <row r="55" customFormat="false" ht="15.75" hidden="false" customHeight="true" outlineLevel="0" collapsed="false">
      <c r="A55" s="17"/>
      <c r="B55" s="15"/>
      <c r="C55" s="15"/>
      <c r="D55" s="16"/>
      <c r="E55" s="16"/>
      <c r="F55" s="17"/>
    </row>
    <row r="56" customFormat="false" ht="15.75" hidden="false" customHeight="true" outlineLevel="0" collapsed="false">
      <c r="A56" s="17"/>
      <c r="B56" s="15"/>
      <c r="C56" s="15"/>
      <c r="D56" s="16"/>
      <c r="E56" s="16"/>
      <c r="F56" s="17"/>
    </row>
    <row r="57" customFormat="false" ht="15.75" hidden="false" customHeight="true" outlineLevel="0" collapsed="false">
      <c r="A57" s="17"/>
      <c r="B57" s="15"/>
      <c r="C57" s="15"/>
      <c r="D57" s="16"/>
      <c r="E57" s="16"/>
      <c r="F57" s="17"/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F1"/>
    <mergeCell ref="A2:F2"/>
    <mergeCell ref="A4:F4"/>
    <mergeCell ref="A12:F12"/>
    <mergeCell ref="A20:F20"/>
    <mergeCell ref="A35:F35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3" min="13" style="0" width="38"/>
  </cols>
  <sheetData>
    <row r="1" customFormat="false" ht="27.75" hidden="false" customHeight="true" outlineLevel="0" collapsed="false">
      <c r="A1" s="18" t="s">
        <v>174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8" hidden="false" customHeight="tru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182</v>
      </c>
      <c r="I3" s="3" t="s">
        <v>183</v>
      </c>
      <c r="J3" s="3" t="s">
        <v>184</v>
      </c>
      <c r="K3" s="3" t="s">
        <v>185</v>
      </c>
      <c r="L3" s="3" t="s">
        <v>186</v>
      </c>
      <c r="M3" s="3" t="s">
        <v>187</v>
      </c>
    </row>
    <row r="4" customFormat="false" ht="18" hidden="false" customHeight="true" outlineLevel="0" collapsed="false">
      <c r="A4" s="19" t="s">
        <v>188</v>
      </c>
      <c r="B4" s="19" t="s">
        <v>189</v>
      </c>
      <c r="C4" s="19" t="s">
        <v>10</v>
      </c>
      <c r="D4" s="19" t="str">
        <f aca="false">IFERROR(IF('IP Input Sheet'!D5&lt;&gt;"",'IP Input Sheet'!D5,IF('IP Input Sheet'!E5&lt;&gt;"",'IP Input Sheet'!E5,'IP Input Sheet'!F5)),"[Enter IP]")</f>
        <v>10.3.118.28</v>
      </c>
      <c r="E4" s="19" t="s">
        <v>48</v>
      </c>
      <c r="F4" s="19" t="str">
        <f aca="false">IFERROR(IF('IP Input Sheet'!D16&lt;&gt;"",'IP Input Sheet'!D16,IF('IP Input Sheet'!E16&lt;&gt;"",'IP Input Sheet'!E16,'IP Input Sheet'!F16)),"[Enter IP]")</f>
        <v>10.3.118.30</v>
      </c>
      <c r="G4" s="19" t="s">
        <v>190</v>
      </c>
      <c r="H4" s="19" t="s">
        <v>191</v>
      </c>
      <c r="I4" s="19" t="s">
        <v>192</v>
      </c>
      <c r="J4" s="20" t="s">
        <v>193</v>
      </c>
      <c r="K4" s="21" t="s">
        <v>194</v>
      </c>
      <c r="L4" s="19" t="s">
        <v>195</v>
      </c>
      <c r="M4" s="19" t="s">
        <v>196</v>
      </c>
    </row>
    <row r="5" customFormat="false" ht="18" hidden="false" customHeight="true" outlineLevel="0" collapsed="false">
      <c r="A5" s="22" t="s">
        <v>197</v>
      </c>
      <c r="B5" s="22" t="s">
        <v>198</v>
      </c>
      <c r="C5" s="22" t="s">
        <v>10</v>
      </c>
      <c r="D5" s="22" t="str">
        <f aca="false">IFERROR(IF('IP Input Sheet'!D5&lt;&gt;"",'IP Input Sheet'!D5,IF('IP Input Sheet'!E5&lt;&gt;"",'IP Input Sheet'!E5,'IP Input Sheet'!F5)),"[Enter IP]")</f>
        <v>10.3.118.28</v>
      </c>
      <c r="E5" s="22" t="s">
        <v>15</v>
      </c>
      <c r="F5" s="22" t="str">
        <f aca="false">IFERROR(IF('IP Input Sheet'!D6&lt;&gt;"",'IP Input Sheet'!D6,IF('IP Input Sheet'!E6&lt;&gt;"",'IP Input Sheet'!E6,'IP Input Sheet'!F6)),"[Enter IP]")</f>
        <v>10.5.25.64/26</v>
      </c>
      <c r="G5" s="22" t="s">
        <v>190</v>
      </c>
      <c r="H5" s="22" t="s">
        <v>191</v>
      </c>
      <c r="I5" s="22" t="s">
        <v>199</v>
      </c>
      <c r="J5" s="20" t="s">
        <v>193</v>
      </c>
      <c r="K5" s="21" t="s">
        <v>194</v>
      </c>
      <c r="L5" s="22" t="s">
        <v>195</v>
      </c>
      <c r="M5" s="22" t="s">
        <v>200</v>
      </c>
    </row>
    <row r="6" customFormat="false" ht="18" hidden="false" customHeight="true" outlineLevel="0" collapsed="false">
      <c r="A6" s="19" t="s">
        <v>201</v>
      </c>
      <c r="B6" s="19" t="s">
        <v>202</v>
      </c>
      <c r="C6" s="19" t="s">
        <v>10</v>
      </c>
      <c r="D6" s="19" t="str">
        <f aca="false">IFERROR(IF('IP Input Sheet'!D5&lt;&gt;"",'IP Input Sheet'!D5,IF('IP Input Sheet'!E5&lt;&gt;"",'IP Input Sheet'!E5,'IP Input Sheet'!F5)),"[Enter IP]")</f>
        <v>10.3.118.28</v>
      </c>
      <c r="E6" s="19" t="s">
        <v>37</v>
      </c>
      <c r="F6" s="19" t="str">
        <f aca="false">IFERROR(IF('IP Input Sheet'!D13&lt;&gt;"",'IP Input Sheet'!D13,IF('IP Input Sheet'!E13&lt;&gt;"",'IP Input Sheet'!E13,'IP Input Sheet'!F13)),"[Enter IP]")</f>
        <v>10.3.118.18</v>
      </c>
      <c r="G6" s="19" t="s">
        <v>190</v>
      </c>
      <c r="H6" s="19" t="s">
        <v>191</v>
      </c>
      <c r="I6" s="19" t="s">
        <v>203</v>
      </c>
      <c r="J6" s="20" t="s">
        <v>193</v>
      </c>
      <c r="K6" s="21" t="s">
        <v>194</v>
      </c>
      <c r="L6" s="19" t="s">
        <v>195</v>
      </c>
      <c r="M6" s="19"/>
    </row>
    <row r="7" customFormat="false" ht="18" hidden="false" customHeight="true" outlineLevel="0" collapsed="false">
      <c r="A7" s="22" t="s">
        <v>204</v>
      </c>
      <c r="B7" s="22" t="s">
        <v>205</v>
      </c>
      <c r="C7" s="22" t="s">
        <v>10</v>
      </c>
      <c r="D7" s="22" t="str">
        <f aca="false">IFERROR(IF('IP Input Sheet'!D5&lt;&gt;"",'IP Input Sheet'!D5,IF('IP Input Sheet'!E5&lt;&gt;"",'IP Input Sheet'!E5,'IP Input Sheet'!F5)),"[Enter IP]")</f>
        <v>10.3.118.28</v>
      </c>
      <c r="E7" s="22" t="s">
        <v>206</v>
      </c>
      <c r="F7" s="22" t="str">
        <f aca="false">IFERROR(IF('IP Input Sheet'!D14&lt;&gt;"",'IP Input Sheet'!D14,IF('IP Input Sheet'!E14&lt;&gt;"",'IP Input Sheet'!E14,'IP Input Sheet'!F14)),"[Enter IP]")</f>
        <v>10.3.118.0/24</v>
      </c>
      <c r="G7" s="22" t="s">
        <v>190</v>
      </c>
      <c r="H7" s="22" t="s">
        <v>191</v>
      </c>
      <c r="I7" s="22" t="s">
        <v>207</v>
      </c>
      <c r="J7" s="20" t="s">
        <v>193</v>
      </c>
      <c r="K7" s="21" t="s">
        <v>194</v>
      </c>
      <c r="L7" s="22" t="s">
        <v>195</v>
      </c>
      <c r="M7" s="22"/>
    </row>
    <row r="8" customFormat="false" ht="18" hidden="false" customHeight="true" outlineLevel="0" collapsed="false">
      <c r="A8" s="19" t="s">
        <v>208</v>
      </c>
      <c r="B8" s="19" t="s">
        <v>209</v>
      </c>
      <c r="C8" s="19" t="s">
        <v>10</v>
      </c>
      <c r="D8" s="19" t="str">
        <f aca="false">IFERROR(IF('IP Input Sheet'!D5&lt;&gt;"",'IP Input Sheet'!D5,IF('IP Input Sheet'!E5&lt;&gt;"",'IP Input Sheet'!E5,'IP Input Sheet'!F5)),"[Enter IP]")</f>
        <v>10.3.118.28</v>
      </c>
      <c r="E8" s="19" t="s">
        <v>153</v>
      </c>
      <c r="F8" s="19" t="n">
        <f aca="false">'IP Input Sheet'!D42</f>
        <v>0</v>
      </c>
      <c r="G8" s="19" t="s">
        <v>210</v>
      </c>
      <c r="H8" s="19" t="s">
        <v>211</v>
      </c>
      <c r="I8" s="19" t="s">
        <v>212</v>
      </c>
      <c r="J8" s="20" t="s">
        <v>193</v>
      </c>
      <c r="K8" s="21" t="s">
        <v>194</v>
      </c>
      <c r="L8" s="19" t="s">
        <v>200</v>
      </c>
      <c r="M8" s="19" t="s">
        <v>213</v>
      </c>
    </row>
    <row r="9" customFormat="false" ht="18" hidden="false" customHeight="true" outlineLevel="0" collapsed="false">
      <c r="A9" s="22" t="s">
        <v>214</v>
      </c>
      <c r="B9" s="22" t="s">
        <v>215</v>
      </c>
      <c r="C9" s="22" t="s">
        <v>10</v>
      </c>
      <c r="D9" s="22" t="str">
        <f aca="false">IFERROR(IF('IP Input Sheet'!D5&lt;&gt;"",'IP Input Sheet'!D5,IF('IP Input Sheet'!E5&lt;&gt;"",'IP Input Sheet'!E5,'IP Input Sheet'!F5)),"[Enter IP]")</f>
        <v>10.3.118.28</v>
      </c>
      <c r="E9" s="22" t="s">
        <v>157</v>
      </c>
      <c r="F9" s="22" t="n">
        <f aca="false">'IP Input Sheet'!D43</f>
        <v>0</v>
      </c>
      <c r="G9" s="22" t="s">
        <v>216</v>
      </c>
      <c r="H9" s="22" t="s">
        <v>217</v>
      </c>
      <c r="I9" s="22" t="s">
        <v>218</v>
      </c>
      <c r="J9" s="20" t="s">
        <v>193</v>
      </c>
      <c r="K9" s="21" t="s">
        <v>194</v>
      </c>
      <c r="L9" s="22" t="s">
        <v>195</v>
      </c>
      <c r="M9" s="22"/>
    </row>
    <row r="10" customFormat="false" ht="18" hidden="false" customHeight="true" outlineLevel="0" collapsed="false">
      <c r="A10" s="19" t="s">
        <v>219</v>
      </c>
      <c r="B10" s="19" t="s">
        <v>220</v>
      </c>
      <c r="C10" s="19" t="s">
        <v>10</v>
      </c>
      <c r="D10" s="19" t="str">
        <f aca="false">IFERROR(IF('IP Input Sheet'!D5&lt;&gt;"",'IP Input Sheet'!D5,IF('IP Input Sheet'!E5&lt;&gt;"",'IP Input Sheet'!E5,'IP Input Sheet'!F5)),"[Enter IP]")</f>
        <v>10.3.118.28</v>
      </c>
      <c r="E10" s="19" t="s">
        <v>221</v>
      </c>
      <c r="F10" s="19" t="str">
        <f aca="false">IFERROR(IF('IP Input Sheet'!D36&lt;&gt;"",'IP Input Sheet'!D36,IF('IP Input Sheet'!E36&lt;&gt;"",'IP Input Sheet'!E36,'IP Input Sheet'!F36)),"[Enter IP]")</f>
        <v>10.3.118.0/24</v>
      </c>
      <c r="G10" s="19" t="s">
        <v>190</v>
      </c>
      <c r="H10" s="19" t="s">
        <v>191</v>
      </c>
      <c r="I10" s="19" t="s">
        <v>222</v>
      </c>
      <c r="J10" s="20" t="s">
        <v>193</v>
      </c>
      <c r="K10" s="21" t="s">
        <v>194</v>
      </c>
      <c r="L10" s="19" t="s">
        <v>195</v>
      </c>
      <c r="M10" s="19"/>
    </row>
    <row r="11" customFormat="false" ht="18" hidden="false" customHeight="true" outlineLevel="0" collapsed="false">
      <c r="A11" s="22" t="s">
        <v>223</v>
      </c>
      <c r="B11" s="22" t="s">
        <v>224</v>
      </c>
      <c r="C11" s="22" t="s">
        <v>10</v>
      </c>
      <c r="D11" s="22" t="str">
        <f aca="false">IFERROR(IF('IP Input Sheet'!D5&lt;&gt;"",'IP Input Sheet'!D5,IF('IP Input Sheet'!E5&lt;&gt;"",'IP Input Sheet'!E5,'IP Input Sheet'!F5)),"[Enter IP]")</f>
        <v>10.3.118.28</v>
      </c>
      <c r="E11" s="22" t="s">
        <v>225</v>
      </c>
      <c r="F11" s="22" t="str">
        <f aca="false">IFERROR(IF('IP Input Sheet'!D7&lt;&gt;"",'IP Input Sheet'!D7,IF('IP Input Sheet'!E7&lt;&gt;"",'IP Input Sheet'!E7,'IP Input Sheet'!F7)),"[Enter IP]")</f>
        <v>10.5.25.64/26</v>
      </c>
      <c r="G11" s="22" t="s">
        <v>226</v>
      </c>
      <c r="H11" s="22" t="s">
        <v>191</v>
      </c>
      <c r="I11" s="22" t="s">
        <v>227</v>
      </c>
      <c r="J11" s="20" t="s">
        <v>193</v>
      </c>
      <c r="K11" s="21" t="s">
        <v>194</v>
      </c>
      <c r="L11" s="22" t="s">
        <v>195</v>
      </c>
      <c r="M11" s="22" t="s">
        <v>228</v>
      </c>
    </row>
    <row r="12" customFormat="false" ht="18" hidden="false" customHeight="true" outlineLevel="0" collapsed="false">
      <c r="A12" s="19" t="s">
        <v>229</v>
      </c>
      <c r="B12" s="19" t="s">
        <v>230</v>
      </c>
      <c r="C12" s="19" t="s">
        <v>10</v>
      </c>
      <c r="D12" s="19" t="str">
        <f aca="false">IFERROR(IF('IP Input Sheet'!D5&lt;&gt;"",'IP Input Sheet'!D5,IF('IP Input Sheet'!E5&lt;&gt;"",'IP Input Sheet'!E5,'IP Input Sheet'!F5)),"[Enter IP]")</f>
        <v>10.3.118.28</v>
      </c>
      <c r="E12" s="19" t="s">
        <v>231</v>
      </c>
      <c r="F12" s="19" t="str">
        <f aca="false">IFERROR(IF('IP Input Sheet'!D7&lt;&gt;"",'IP Input Sheet'!D7,IF('IP Input Sheet'!E7&lt;&gt;"",'IP Input Sheet'!E7,'IP Input Sheet'!F7)),"[Enter IP]")</f>
        <v>10.5.25.64/26</v>
      </c>
      <c r="G12" s="19" t="s">
        <v>232</v>
      </c>
      <c r="H12" s="19" t="s">
        <v>191</v>
      </c>
      <c r="I12" s="19" t="s">
        <v>233</v>
      </c>
      <c r="J12" s="20" t="s">
        <v>193</v>
      </c>
      <c r="K12" s="21" t="s">
        <v>194</v>
      </c>
      <c r="L12" s="19" t="s">
        <v>195</v>
      </c>
      <c r="M12" s="19"/>
    </row>
    <row r="13" customFormat="false" ht="18" hidden="false" customHeight="true" outlineLevel="0" collapsed="false">
      <c r="A13" s="22" t="s">
        <v>234</v>
      </c>
      <c r="B13" s="22" t="s">
        <v>235</v>
      </c>
      <c r="C13" s="22" t="s">
        <v>10</v>
      </c>
      <c r="D13" s="22" t="str">
        <f aca="false">IFERROR(IF('IP Input Sheet'!D5&lt;&gt;"",'IP Input Sheet'!D5,IF('IP Input Sheet'!E5&lt;&gt;"",'IP Input Sheet'!E5,'IP Input Sheet'!F5)),"[Enter IP]")</f>
        <v>10.3.118.28</v>
      </c>
      <c r="E13" s="22" t="s">
        <v>231</v>
      </c>
      <c r="F13" s="22" t="str">
        <f aca="false">IFERROR(IF('IP Input Sheet'!D7&lt;&gt;"",'IP Input Sheet'!D7,IF('IP Input Sheet'!E7&lt;&gt;"",'IP Input Sheet'!E7,'IP Input Sheet'!F7)),"[Enter IP]")</f>
        <v>10.5.25.64/26</v>
      </c>
      <c r="G13" s="22" t="s">
        <v>236</v>
      </c>
      <c r="H13" s="22" t="s">
        <v>191</v>
      </c>
      <c r="I13" s="22" t="s">
        <v>237</v>
      </c>
      <c r="J13" s="20" t="s">
        <v>193</v>
      </c>
      <c r="K13" s="21" t="s">
        <v>194</v>
      </c>
      <c r="L13" s="22" t="s">
        <v>195</v>
      </c>
      <c r="M13" s="22"/>
    </row>
    <row r="14" customFormat="false" ht="18" hidden="false" customHeight="true" outlineLevel="0" collapsed="false">
      <c r="A14" s="19" t="s">
        <v>238</v>
      </c>
      <c r="B14" s="19" t="s">
        <v>239</v>
      </c>
      <c r="C14" s="19" t="s">
        <v>10</v>
      </c>
      <c r="D14" s="19" t="str">
        <f aca="false">IFERROR(IF('IP Input Sheet'!D5&lt;&gt;"",'IP Input Sheet'!D5,IF('IP Input Sheet'!E5&lt;&gt;"",'IP Input Sheet'!E5,'IP Input Sheet'!F5)),"[Enter IP]")</f>
        <v>10.3.118.28</v>
      </c>
      <c r="E14" s="19" t="s">
        <v>231</v>
      </c>
      <c r="F14" s="19" t="str">
        <f aca="false">IFERROR(IF('IP Input Sheet'!D7&lt;&gt;"",'IP Input Sheet'!D7,IF('IP Input Sheet'!E7&lt;&gt;"",'IP Input Sheet'!E7,'IP Input Sheet'!F7)),"[Enter IP]")</f>
        <v>10.5.25.64/26</v>
      </c>
      <c r="G14" s="19" t="s">
        <v>240</v>
      </c>
      <c r="H14" s="19" t="s">
        <v>191</v>
      </c>
      <c r="I14" s="19" t="s">
        <v>241</v>
      </c>
      <c r="J14" s="20" t="s">
        <v>193</v>
      </c>
      <c r="K14" s="21" t="s">
        <v>194</v>
      </c>
      <c r="L14" s="19" t="s">
        <v>195</v>
      </c>
      <c r="M14" s="19"/>
    </row>
    <row r="15" customFormat="false" ht="18" hidden="false" customHeight="true" outlineLevel="0" collapsed="false">
      <c r="A15" s="22" t="s">
        <v>242</v>
      </c>
      <c r="B15" s="22" t="s">
        <v>243</v>
      </c>
      <c r="C15" s="22" t="s">
        <v>10</v>
      </c>
      <c r="D15" s="22" t="str">
        <f aca="false">IFERROR(IF('IP Input Sheet'!D5&lt;&gt;"",'IP Input Sheet'!D5,IF('IP Input Sheet'!E5&lt;&gt;"",'IP Input Sheet'!E5,'IP Input Sheet'!F5)),"[Enter IP]")</f>
        <v>10.3.118.28</v>
      </c>
      <c r="E15" s="22" t="s">
        <v>231</v>
      </c>
      <c r="F15" s="22" t="str">
        <f aca="false">IFERROR(IF('IP Input Sheet'!D7&lt;&gt;"",'IP Input Sheet'!D7,IF('IP Input Sheet'!E7&lt;&gt;"",'IP Input Sheet'!E7,'IP Input Sheet'!F7)),"[Enter IP]")</f>
        <v>10.5.25.64/26</v>
      </c>
      <c r="G15" s="22" t="s">
        <v>244</v>
      </c>
      <c r="H15" s="22" t="s">
        <v>191</v>
      </c>
      <c r="I15" s="22" t="s">
        <v>245</v>
      </c>
      <c r="J15" s="20" t="s">
        <v>193</v>
      </c>
      <c r="K15" s="21" t="s">
        <v>194</v>
      </c>
      <c r="L15" s="22" t="s">
        <v>195</v>
      </c>
      <c r="M15" s="22"/>
    </row>
    <row r="16" customFormat="false" ht="18" hidden="false" customHeight="true" outlineLevel="0" collapsed="false">
      <c r="A16" s="19" t="s">
        <v>246</v>
      </c>
      <c r="B16" s="19" t="s">
        <v>247</v>
      </c>
      <c r="C16" s="19" t="s">
        <v>10</v>
      </c>
      <c r="D16" s="19" t="str">
        <f aca="false">IFERROR(IF('IP Input Sheet'!D5&lt;&gt;"",'IP Input Sheet'!D5,IF('IP Input Sheet'!E5&lt;&gt;"",'IP Input Sheet'!E5,'IP Input Sheet'!F5)),"[Enter IP]")</f>
        <v>10.3.118.28</v>
      </c>
      <c r="E16" s="19" t="s">
        <v>231</v>
      </c>
      <c r="F16" s="19" t="str">
        <f aca="false">IFERROR(IF('IP Input Sheet'!D7&lt;&gt;"",'IP Input Sheet'!D7,IF('IP Input Sheet'!E7&lt;&gt;"",'IP Input Sheet'!E7,'IP Input Sheet'!F7)),"[Enter IP]")</f>
        <v>10.5.25.64/26</v>
      </c>
      <c r="G16" s="19" t="s">
        <v>248</v>
      </c>
      <c r="H16" s="19" t="s">
        <v>191</v>
      </c>
      <c r="I16" s="19" t="s">
        <v>245</v>
      </c>
      <c r="J16" s="20" t="s">
        <v>193</v>
      </c>
      <c r="K16" s="21" t="s">
        <v>194</v>
      </c>
      <c r="L16" s="19" t="s">
        <v>195</v>
      </c>
      <c r="M16" s="19"/>
    </row>
    <row r="17" customFormat="false" ht="18" hidden="false" customHeight="true" outlineLevel="0" collapsed="false">
      <c r="A17" s="22" t="s">
        <v>249</v>
      </c>
      <c r="B17" s="22" t="s">
        <v>250</v>
      </c>
      <c r="C17" s="22" t="s">
        <v>10</v>
      </c>
      <c r="D17" s="22" t="str">
        <f aca="false">IFERROR(IF('IP Input Sheet'!D5&lt;&gt;"",'IP Input Sheet'!D5,IF('IP Input Sheet'!E5&lt;&gt;"",'IP Input Sheet'!E5,'IP Input Sheet'!F5)),"[Enter IP]")</f>
        <v>10.3.118.28</v>
      </c>
      <c r="E17" s="22" t="s">
        <v>225</v>
      </c>
      <c r="F17" s="22" t="str">
        <f aca="false">IFERROR(IF('IP Input Sheet'!D7&lt;&gt;"",'IP Input Sheet'!D7,IF('IP Input Sheet'!E7&lt;&gt;"",'IP Input Sheet'!E7,'IP Input Sheet'!F7)),"[Enter IP]")</f>
        <v>10.5.25.64/26</v>
      </c>
      <c r="G17" s="22" t="s">
        <v>251</v>
      </c>
      <c r="H17" s="22" t="s">
        <v>191</v>
      </c>
      <c r="I17" s="22" t="s">
        <v>252</v>
      </c>
      <c r="J17" s="20" t="s">
        <v>193</v>
      </c>
      <c r="K17" s="21" t="s">
        <v>194</v>
      </c>
      <c r="L17" s="22" t="s">
        <v>195</v>
      </c>
      <c r="M17" s="22"/>
    </row>
    <row r="18" customFormat="false" ht="18" hidden="false" customHeight="true" outlineLevel="0" collapsed="false">
      <c r="A18" s="19" t="s">
        <v>253</v>
      </c>
      <c r="B18" s="19" t="s">
        <v>254</v>
      </c>
      <c r="C18" s="19" t="s">
        <v>15</v>
      </c>
      <c r="D18" s="19" t="str">
        <f aca="false">IFERROR(IF('IP Input Sheet'!D6&lt;&gt;"",'IP Input Sheet'!D6,IF('IP Input Sheet'!E6&lt;&gt;"",'IP Input Sheet'!E6,'IP Input Sheet'!F6)),"[Enter IP]")</f>
        <v>10.5.25.64/26</v>
      </c>
      <c r="E18" s="19" t="s">
        <v>157</v>
      </c>
      <c r="F18" s="19" t="str">
        <f aca="false">IFERROR(IF('IP Input Sheet'!D13&lt;&gt;"",'IP Input Sheet'!D13,IF('IP Input Sheet'!E13&lt;&gt;"",'IP Input Sheet'!E13,'IP Input Sheet'!F13)),"[Enter IP]")</f>
        <v>10.3.118.18</v>
      </c>
      <c r="G18" s="19" t="s">
        <v>216</v>
      </c>
      <c r="H18" s="19" t="s">
        <v>217</v>
      </c>
      <c r="I18" s="19" t="s">
        <v>255</v>
      </c>
      <c r="J18" s="20" t="s">
        <v>193</v>
      </c>
      <c r="K18" s="21" t="s">
        <v>194</v>
      </c>
      <c r="L18" s="19" t="s">
        <v>195</v>
      </c>
      <c r="M18" s="19"/>
    </row>
    <row r="19" customFormat="false" ht="18" hidden="false" customHeight="true" outlineLevel="0" collapsed="false">
      <c r="A19" s="22" t="s">
        <v>256</v>
      </c>
      <c r="B19" s="22" t="s">
        <v>257</v>
      </c>
      <c r="C19" s="22" t="s">
        <v>15</v>
      </c>
      <c r="D19" s="22" t="str">
        <f aca="false">IFERROR(IF('IP Input Sheet'!D6&lt;&gt;"",'IP Input Sheet'!D6,IF('IP Input Sheet'!E6&lt;&gt;"",'IP Input Sheet'!E6,'IP Input Sheet'!F6)),"[Enter IP]")</f>
        <v>10.5.25.64/26</v>
      </c>
      <c r="E19" s="22" t="s">
        <v>153</v>
      </c>
      <c r="F19" s="22" t="str">
        <f aca="false">IFERROR(IF('IP Input Sheet'!D13&lt;&gt;"",'IP Input Sheet'!D13,IF('IP Input Sheet'!E13&lt;&gt;"",'IP Input Sheet'!E13,'IP Input Sheet'!F13)),"[Enter IP]")</f>
        <v>10.3.118.18</v>
      </c>
      <c r="G19" s="22" t="s">
        <v>210</v>
      </c>
      <c r="H19" s="22" t="s">
        <v>211</v>
      </c>
      <c r="I19" s="22" t="s">
        <v>258</v>
      </c>
      <c r="J19" s="20" t="s">
        <v>193</v>
      </c>
      <c r="K19" s="21" t="s">
        <v>194</v>
      </c>
      <c r="L19" s="22" t="s">
        <v>195</v>
      </c>
      <c r="M19" s="22"/>
    </row>
    <row r="20" customFormat="false" ht="18" hidden="false" customHeight="true" outlineLevel="0" collapsed="false">
      <c r="A20" s="19" t="s">
        <v>259</v>
      </c>
      <c r="B20" s="19" t="s">
        <v>260</v>
      </c>
      <c r="C20" s="19" t="s">
        <v>15</v>
      </c>
      <c r="D20" s="19" t="str">
        <f aca="false">IFERROR(IF('IP Input Sheet'!D6&lt;&gt;"",'IP Input Sheet'!D6,IF('IP Input Sheet'!E6&lt;&gt;"",'IP Input Sheet'!E6,'IP Input Sheet'!F6)),"[Enter IP]")</f>
        <v>10.5.25.64/26</v>
      </c>
      <c r="E20" s="19" t="s">
        <v>261</v>
      </c>
      <c r="F20" s="19" t="str">
        <f aca="false">IFERROR(IF('IP Input Sheet'!D36&lt;&gt;"",'IP Input Sheet'!D36,IF('IP Input Sheet'!E36&lt;&gt;"",'IP Input Sheet'!E36,'IP Input Sheet'!F36)),"[Enter IP]")</f>
        <v>10.3.118.0/24</v>
      </c>
      <c r="G20" s="19" t="s">
        <v>262</v>
      </c>
      <c r="H20" s="19" t="s">
        <v>191</v>
      </c>
      <c r="I20" s="19" t="s">
        <v>263</v>
      </c>
      <c r="J20" s="20" t="s">
        <v>193</v>
      </c>
      <c r="K20" s="21" t="s">
        <v>194</v>
      </c>
      <c r="L20" s="19" t="s">
        <v>195</v>
      </c>
      <c r="M20" s="19"/>
    </row>
    <row r="21" customFormat="false" ht="18" hidden="false" customHeight="true" outlineLevel="0" collapsed="false">
      <c r="A21" s="22" t="s">
        <v>264</v>
      </c>
      <c r="B21" s="22" t="s">
        <v>265</v>
      </c>
      <c r="C21" s="22" t="s">
        <v>15</v>
      </c>
      <c r="D21" s="22" t="str">
        <f aca="false">IFERROR(IF('IP Input Sheet'!D6&lt;&gt;"",'IP Input Sheet'!D6,IF('IP Input Sheet'!E6&lt;&gt;"",'IP Input Sheet'!E6,'IP Input Sheet'!F6)),"[Enter IP]")</f>
        <v>10.5.25.64/26</v>
      </c>
      <c r="E21" s="22" t="s">
        <v>261</v>
      </c>
      <c r="F21" s="22" t="str">
        <f aca="false">IFERROR(IF('IP Input Sheet'!D14&lt;&gt;"",'IP Input Sheet'!D14,IF('IP Input Sheet'!E14&lt;&gt;"",'IP Input Sheet'!E14,'IP Input Sheet'!F14)),"[Enter IP]")</f>
        <v>10.3.118.0/24</v>
      </c>
      <c r="G21" s="22" t="s">
        <v>266</v>
      </c>
      <c r="H21" s="22" t="s">
        <v>191</v>
      </c>
      <c r="I21" s="22" t="s">
        <v>267</v>
      </c>
      <c r="J21" s="20" t="s">
        <v>193</v>
      </c>
      <c r="K21" s="21" t="s">
        <v>194</v>
      </c>
      <c r="L21" s="22" t="s">
        <v>195</v>
      </c>
      <c r="M21" s="22"/>
    </row>
    <row r="22" customFormat="false" ht="18" hidden="false" customHeight="true" outlineLevel="0" collapsed="false">
      <c r="A22" s="19" t="s">
        <v>268</v>
      </c>
      <c r="B22" s="19" t="s">
        <v>269</v>
      </c>
      <c r="C22" s="19" t="s">
        <v>15</v>
      </c>
      <c r="D22" s="19" t="str">
        <f aca="false">IFERROR(IF('IP Input Sheet'!D6&lt;&gt;"",'IP Input Sheet'!D6,IF('IP Input Sheet'!E6&lt;&gt;"",'IP Input Sheet'!E6,'IP Input Sheet'!F6)),"[Enter IP]")</f>
        <v>10.5.25.64/26</v>
      </c>
      <c r="E22" s="19" t="s">
        <v>261</v>
      </c>
      <c r="F22" s="19" t="str">
        <f aca="false">IFERROR(IF('IP Input Sheet'!D7&lt;&gt;"",'IP Input Sheet'!D7,IF('IP Input Sheet'!E7&lt;&gt;"",'IP Input Sheet'!E7,'IP Input Sheet'!F7)),"[Enter IP]")</f>
        <v>10.5.25.64/26</v>
      </c>
      <c r="G22" s="19" t="s">
        <v>270</v>
      </c>
      <c r="H22" s="19" t="s">
        <v>191</v>
      </c>
      <c r="I22" s="19" t="s">
        <v>271</v>
      </c>
      <c r="J22" s="20" t="s">
        <v>193</v>
      </c>
      <c r="K22" s="21" t="s">
        <v>194</v>
      </c>
      <c r="L22" s="19" t="s">
        <v>195</v>
      </c>
      <c r="M22" s="19"/>
    </row>
    <row r="23" customFormat="false" ht="18" hidden="false" customHeight="true" outlineLevel="0" collapsed="false">
      <c r="A23" s="22" t="s">
        <v>272</v>
      </c>
      <c r="B23" s="22" t="s">
        <v>273</v>
      </c>
      <c r="C23" s="22" t="s">
        <v>15</v>
      </c>
      <c r="D23" s="22" t="str">
        <f aca="false">IFERROR(IF('IP Input Sheet'!D7&lt;&gt;"",'IP Input Sheet'!D7,IF('IP Input Sheet'!E7&lt;&gt;"",'IP Input Sheet'!E7,'IP Input Sheet'!F7)),"[Enter IP]")</f>
        <v>10.5.25.64/26</v>
      </c>
      <c r="E23" s="22" t="s">
        <v>274</v>
      </c>
      <c r="F23" s="22" t="str">
        <f aca="false">IFERROR(IF('IP Input Sheet'!D13&lt;&gt;"",'IP Input Sheet'!D13,IF('IP Input Sheet'!E13&lt;&gt;"",'IP Input Sheet'!E13,'IP Input Sheet'!F13)),"[Enter IP]")</f>
        <v>10.3.118.18</v>
      </c>
      <c r="G23" s="22" t="s">
        <v>226</v>
      </c>
      <c r="H23" s="22" t="s">
        <v>191</v>
      </c>
      <c r="I23" s="22" t="s">
        <v>275</v>
      </c>
      <c r="J23" s="20" t="s">
        <v>193</v>
      </c>
      <c r="K23" s="21" t="s">
        <v>194</v>
      </c>
      <c r="L23" s="22" t="s">
        <v>195</v>
      </c>
      <c r="M23" s="22"/>
    </row>
    <row r="24" customFormat="false" ht="18" hidden="false" customHeight="true" outlineLevel="0" collapsed="false">
      <c r="A24" s="19" t="s">
        <v>276</v>
      </c>
      <c r="B24" s="19" t="s">
        <v>277</v>
      </c>
      <c r="C24" s="19" t="s">
        <v>15</v>
      </c>
      <c r="D24" s="19" t="str">
        <f aca="false">IFERROR(IF('IP Input Sheet'!D7&lt;&gt;"",'IP Input Sheet'!D7,IF('IP Input Sheet'!E7&lt;&gt;"",'IP Input Sheet'!E7,'IP Input Sheet'!F7)),"[Enter IP]")</f>
        <v>10.5.25.64/26</v>
      </c>
      <c r="E24" s="19" t="s">
        <v>37</v>
      </c>
      <c r="F24" s="19" t="str">
        <f aca="false">IFERROR(IF('IP Input Sheet'!D13&lt;&gt;"",'IP Input Sheet'!D13,IF('IP Input Sheet'!E13&lt;&gt;"",'IP Input Sheet'!E13,'IP Input Sheet'!F13)),"[Enter IP]")</f>
        <v>10.3.118.18</v>
      </c>
      <c r="G24" s="19" t="s">
        <v>278</v>
      </c>
      <c r="H24" s="19" t="s">
        <v>191</v>
      </c>
      <c r="I24" s="19" t="s">
        <v>279</v>
      </c>
      <c r="J24" s="20" t="s">
        <v>193</v>
      </c>
      <c r="K24" s="21" t="s">
        <v>194</v>
      </c>
      <c r="L24" s="19" t="s">
        <v>195</v>
      </c>
      <c r="M24" s="19"/>
    </row>
    <row r="25" customFormat="false" ht="18" hidden="false" customHeight="true" outlineLevel="0" collapsed="false">
      <c r="A25" s="22" t="s">
        <v>280</v>
      </c>
      <c r="B25" s="22" t="s">
        <v>281</v>
      </c>
      <c r="C25" s="22" t="s">
        <v>15</v>
      </c>
      <c r="D25" s="22" t="str">
        <f aca="false">IFERROR(IF('IP Input Sheet'!D7&lt;&gt;"",'IP Input Sheet'!D7,IF('IP Input Sheet'!E7&lt;&gt;"",'IP Input Sheet'!E7,'IP Input Sheet'!F7)),"[Enter IP]")</f>
        <v>10.5.25.64/26</v>
      </c>
      <c r="E25" s="22" t="s">
        <v>37</v>
      </c>
      <c r="F25" s="22" t="str">
        <f aca="false">IFERROR(IF('IP Input Sheet'!D36&lt;&gt;"",'IP Input Sheet'!D36,IF('IP Input Sheet'!E36&lt;&gt;"",'IP Input Sheet'!E36,'IP Input Sheet'!F36)),"[Enter IP]")</f>
        <v>10.3.118.0/24</v>
      </c>
      <c r="G25" s="22" t="s">
        <v>190</v>
      </c>
      <c r="H25" s="22" t="s">
        <v>191</v>
      </c>
      <c r="I25" s="22" t="s">
        <v>282</v>
      </c>
      <c r="J25" s="20" t="s">
        <v>193</v>
      </c>
      <c r="K25" s="21" t="s">
        <v>194</v>
      </c>
      <c r="L25" s="22" t="s">
        <v>195</v>
      </c>
      <c r="M25" s="22"/>
    </row>
    <row r="26" customFormat="false" ht="18" hidden="false" customHeight="true" outlineLevel="0" collapsed="false">
      <c r="A26" s="19" t="s">
        <v>283</v>
      </c>
      <c r="B26" s="19" t="s">
        <v>284</v>
      </c>
      <c r="C26" s="19" t="s">
        <v>15</v>
      </c>
      <c r="D26" s="19" t="str">
        <f aca="false">IFERROR(IF('IP Input Sheet'!D7&lt;&gt;"",'IP Input Sheet'!D7,IF('IP Input Sheet'!E7&lt;&gt;"",'IP Input Sheet'!E7,'IP Input Sheet'!F7)),"[Enter IP]")</f>
        <v>10.5.25.64/26</v>
      </c>
      <c r="E26" s="19" t="s">
        <v>221</v>
      </c>
      <c r="F26" s="19" t="str">
        <f aca="false">IFERROR(IF('IP Input Sheet'!D36&lt;&gt;"",'IP Input Sheet'!D36,IF('IP Input Sheet'!E36&lt;&gt;"",'IP Input Sheet'!E36,'IP Input Sheet'!F36)),"[Enter IP]")</f>
        <v>10.3.118.0/24</v>
      </c>
      <c r="G26" s="19" t="s">
        <v>190</v>
      </c>
      <c r="H26" s="19" t="s">
        <v>191</v>
      </c>
      <c r="I26" s="19" t="s">
        <v>285</v>
      </c>
      <c r="J26" s="20" t="s">
        <v>193</v>
      </c>
      <c r="K26" s="21" t="s">
        <v>194</v>
      </c>
      <c r="L26" s="19" t="s">
        <v>195</v>
      </c>
      <c r="M26" s="19"/>
    </row>
    <row r="27" customFormat="false" ht="18" hidden="false" customHeight="true" outlineLevel="0" collapsed="false">
      <c r="A27" s="22" t="s">
        <v>286</v>
      </c>
      <c r="B27" s="22" t="s">
        <v>287</v>
      </c>
      <c r="C27" s="22" t="s">
        <v>15</v>
      </c>
      <c r="D27" s="22" t="str">
        <f aca="false">IFERROR(IF('IP Input Sheet'!D7&lt;&gt;"",'IP Input Sheet'!D7,IF('IP Input Sheet'!E7&lt;&gt;"",'IP Input Sheet'!E7,'IP Input Sheet'!F7)),"[Enter IP]")</f>
        <v>10.5.25.64/26</v>
      </c>
      <c r="E27" s="22" t="s">
        <v>206</v>
      </c>
      <c r="F27" s="22" t="str">
        <f aca="false">IFERROR(IF('IP Input Sheet'!D14&lt;&gt;"",'IP Input Sheet'!D14,IF('IP Input Sheet'!E14&lt;&gt;"",'IP Input Sheet'!E14,'IP Input Sheet'!F14)),"[Enter IP]")</f>
        <v>10.3.118.0/24</v>
      </c>
      <c r="G27" s="22" t="s">
        <v>190</v>
      </c>
      <c r="H27" s="22" t="s">
        <v>191</v>
      </c>
      <c r="I27" s="22" t="s">
        <v>288</v>
      </c>
      <c r="J27" s="20" t="s">
        <v>193</v>
      </c>
      <c r="K27" s="21" t="s">
        <v>194</v>
      </c>
      <c r="L27" s="22" t="s">
        <v>195</v>
      </c>
      <c r="M27" s="22"/>
    </row>
    <row r="28" customFormat="false" ht="18" hidden="false" customHeight="true" outlineLevel="0" collapsed="false">
      <c r="A28" s="19" t="s">
        <v>289</v>
      </c>
      <c r="B28" s="19" t="s">
        <v>290</v>
      </c>
      <c r="C28" s="19" t="s">
        <v>19</v>
      </c>
      <c r="D28" s="19" t="str">
        <f aca="false">IFERROR(IF('IP Input Sheet'!D7&lt;&gt;"",'IP Input Sheet'!D7,IF('IP Input Sheet'!E7&lt;&gt;"",'IP Input Sheet'!E7,'IP Input Sheet'!F7)),"[Enter IP]")</f>
        <v>10.5.25.64/26</v>
      </c>
      <c r="E28" s="19" t="s">
        <v>37</v>
      </c>
      <c r="F28" s="19" t="str">
        <f aca="false">IFERROR(IF('IP Input Sheet'!D13&lt;&gt;"",'IP Input Sheet'!D13,IF('IP Input Sheet'!E13&lt;&gt;"",'IP Input Sheet'!E13,'IP Input Sheet'!F13)),"[Enter IP]")</f>
        <v>10.3.118.18</v>
      </c>
      <c r="G28" s="19" t="s">
        <v>190</v>
      </c>
      <c r="H28" s="19" t="s">
        <v>191</v>
      </c>
      <c r="I28" s="19" t="s">
        <v>291</v>
      </c>
      <c r="J28" s="20" t="s">
        <v>193</v>
      </c>
      <c r="K28" s="21" t="s">
        <v>194</v>
      </c>
      <c r="L28" s="19" t="s">
        <v>200</v>
      </c>
      <c r="M28" s="19"/>
    </row>
    <row r="29" customFormat="false" ht="18" hidden="false" customHeight="true" outlineLevel="0" collapsed="false">
      <c r="A29" s="22" t="s">
        <v>292</v>
      </c>
      <c r="B29" s="22" t="s">
        <v>293</v>
      </c>
      <c r="C29" s="22" t="s">
        <v>19</v>
      </c>
      <c r="D29" s="22" t="str">
        <f aca="false">IFERROR(IF('IP Input Sheet'!D7&lt;&gt;"",'IP Input Sheet'!D7,IF('IP Input Sheet'!E7&lt;&gt;"",'IP Input Sheet'!E7,'IP Input Sheet'!F7)),"[Enter IP]")</f>
        <v>10.5.25.64/26</v>
      </c>
      <c r="E29" s="22" t="s">
        <v>221</v>
      </c>
      <c r="F29" s="22" t="str">
        <f aca="false">IFERROR(IF('IP Input Sheet'!D36&lt;&gt;"",'IP Input Sheet'!D36,IF('IP Input Sheet'!E36&lt;&gt;"",'IP Input Sheet'!E36,'IP Input Sheet'!F36)),"[Enter IP]")</f>
        <v>10.3.118.0/24</v>
      </c>
      <c r="G29" s="22" t="s">
        <v>294</v>
      </c>
      <c r="H29" s="22" t="s">
        <v>191</v>
      </c>
      <c r="I29" s="22" t="s">
        <v>295</v>
      </c>
      <c r="J29" s="20" t="s">
        <v>193</v>
      </c>
      <c r="K29" s="21" t="s">
        <v>194</v>
      </c>
      <c r="L29" s="22" t="s">
        <v>195</v>
      </c>
      <c r="M29" s="22"/>
    </row>
    <row r="30" customFormat="false" ht="18" hidden="false" customHeight="true" outlineLevel="0" collapsed="false">
      <c r="A30" s="19" t="s">
        <v>296</v>
      </c>
      <c r="B30" s="19" t="s">
        <v>297</v>
      </c>
      <c r="C30" s="19" t="s">
        <v>19</v>
      </c>
      <c r="D30" s="19" t="str">
        <f aca="false">IFERROR(IF('IP Input Sheet'!D7&lt;&gt;"",'IP Input Sheet'!D7,IF('IP Input Sheet'!E7&lt;&gt;"",'IP Input Sheet'!E7,'IP Input Sheet'!F7)),"[Enter IP]")</f>
        <v>10.5.25.64/26</v>
      </c>
      <c r="E30" s="19" t="s">
        <v>221</v>
      </c>
      <c r="F30" s="19" t="n">
        <f aca="false">IFERROR(IF('IP Input Sheet'!D37&lt;&gt;"",'IP Input Sheet'!D37,IF('IP Input Sheet'!E37&lt;&gt;"",'IP Input Sheet'!E37,'IP Input Sheet'!F37)),"[Enter IP]")</f>
        <v>0</v>
      </c>
      <c r="G30" s="19" t="s">
        <v>190</v>
      </c>
      <c r="H30" s="19" t="s">
        <v>191</v>
      </c>
      <c r="I30" s="19" t="s">
        <v>298</v>
      </c>
      <c r="J30" s="20" t="s">
        <v>193</v>
      </c>
      <c r="K30" s="21" t="s">
        <v>194</v>
      </c>
      <c r="L30" s="19" t="s">
        <v>200</v>
      </c>
      <c r="M30" s="19"/>
    </row>
    <row r="31" customFormat="false" ht="18" hidden="false" customHeight="true" outlineLevel="0" collapsed="false">
      <c r="A31" s="22" t="s">
        <v>299</v>
      </c>
      <c r="B31" s="22" t="s">
        <v>300</v>
      </c>
      <c r="C31" s="22" t="s">
        <v>19</v>
      </c>
      <c r="D31" s="22" t="str">
        <f aca="false">IFERROR(IF('IP Input Sheet'!D7&lt;&gt;"",'IP Input Sheet'!D7,IF('IP Input Sheet'!E7&lt;&gt;"",'IP Input Sheet'!E7,'IP Input Sheet'!F7)),"[Enter IP]")</f>
        <v>10.5.25.64/26</v>
      </c>
      <c r="E31" s="22" t="s">
        <v>221</v>
      </c>
      <c r="F31" s="22" t="n">
        <f aca="false">IFERROR(IF('IP Input Sheet'!D37&lt;&gt;"",'IP Input Sheet'!D37,IF('IP Input Sheet'!E37&lt;&gt;"",'IP Input Sheet'!E37,'IP Input Sheet'!F37)),"[Enter IP]")</f>
        <v>0</v>
      </c>
      <c r="G31" s="22" t="s">
        <v>226</v>
      </c>
      <c r="H31" s="22" t="s">
        <v>191</v>
      </c>
      <c r="I31" s="22" t="s">
        <v>301</v>
      </c>
      <c r="J31" s="20" t="s">
        <v>193</v>
      </c>
      <c r="K31" s="21" t="s">
        <v>194</v>
      </c>
      <c r="L31" s="22" t="s">
        <v>200</v>
      </c>
      <c r="M31" s="22" t="s">
        <v>302</v>
      </c>
    </row>
    <row r="32" customFormat="false" ht="18" hidden="false" customHeight="true" outlineLevel="0" collapsed="false">
      <c r="A32" s="19" t="s">
        <v>303</v>
      </c>
      <c r="B32" s="19" t="s">
        <v>304</v>
      </c>
      <c r="C32" s="19" t="s">
        <v>19</v>
      </c>
      <c r="D32" s="19" t="str">
        <f aca="false">IFERROR(IF('IP Input Sheet'!D7&lt;&gt;"",'IP Input Sheet'!D7,IF('IP Input Sheet'!E7&lt;&gt;"",'IP Input Sheet'!E7,'IP Input Sheet'!F7)),"[Enter IP]")</f>
        <v>10.5.25.64/26</v>
      </c>
      <c r="E32" s="19" t="s">
        <v>305</v>
      </c>
      <c r="F32" s="19" t="str">
        <f aca="false">IFERROR(IF('IP Input Sheet'!D14&lt;&gt;"",'IP Input Sheet'!D14,IF('IP Input Sheet'!E14&lt;&gt;"",'IP Input Sheet'!E14,'IP Input Sheet'!F14)),"[Enter IP]")</f>
        <v>10.3.118.0/24</v>
      </c>
      <c r="G32" s="19" t="s">
        <v>190</v>
      </c>
      <c r="H32" s="19" t="s">
        <v>191</v>
      </c>
      <c r="I32" s="19" t="s">
        <v>306</v>
      </c>
      <c r="J32" s="20" t="s">
        <v>193</v>
      </c>
      <c r="K32" s="21" t="s">
        <v>194</v>
      </c>
      <c r="L32" s="19" t="s">
        <v>200</v>
      </c>
      <c r="M32" s="19"/>
    </row>
    <row r="33" customFormat="false" ht="18" hidden="false" customHeight="true" outlineLevel="0" collapsed="false">
      <c r="A33" s="22" t="s">
        <v>307</v>
      </c>
      <c r="B33" s="22" t="s">
        <v>308</v>
      </c>
      <c r="C33" s="22" t="s">
        <v>19</v>
      </c>
      <c r="D33" s="22" t="str">
        <f aca="false">IFERROR(IF('IP Input Sheet'!D9&lt;&gt;"",'IP Input Sheet'!D9,IF('IP Input Sheet'!E9&lt;&gt;"",'IP Input Sheet'!E9,'IP Input Sheet'!F9)),"[Enter IP]")</f>
        <v>10.5.25.64/26</v>
      </c>
      <c r="E33" s="22" t="s">
        <v>309</v>
      </c>
      <c r="F33" s="22" t="str">
        <f aca="false">IFERROR(IF('IP Input Sheet'!D13&lt;&gt;"",'IP Input Sheet'!D13,IF('IP Input Sheet'!E13&lt;&gt;"",'IP Input Sheet'!E13,'IP Input Sheet'!F13)),"[Enter IP]")</f>
        <v>10.3.118.18</v>
      </c>
      <c r="G33" s="22" t="s">
        <v>190</v>
      </c>
      <c r="H33" s="22" t="s">
        <v>191</v>
      </c>
      <c r="I33" s="22" t="s">
        <v>310</v>
      </c>
      <c r="J33" s="20" t="s">
        <v>193</v>
      </c>
      <c r="K33" s="21" t="s">
        <v>194</v>
      </c>
      <c r="L33" s="22" t="s">
        <v>195</v>
      </c>
      <c r="M33" s="22"/>
    </row>
    <row r="34" customFormat="false" ht="18" hidden="false" customHeight="true" outlineLevel="0" collapsed="false">
      <c r="A34" s="19" t="s">
        <v>311</v>
      </c>
      <c r="B34" s="19" t="s">
        <v>312</v>
      </c>
      <c r="C34" s="19" t="s">
        <v>19</v>
      </c>
      <c r="D34" s="19" t="str">
        <f aca="false">IFERROR(IF('IP Input Sheet'!D9&lt;&gt;"",'IP Input Sheet'!D9,IF('IP Input Sheet'!E9&lt;&gt;"",'IP Input Sheet'!E9,'IP Input Sheet'!F9)),"[Enter IP]")</f>
        <v>10.5.25.64/26</v>
      </c>
      <c r="E34" s="19" t="s">
        <v>309</v>
      </c>
      <c r="F34" s="19" t="str">
        <f aca="false">IFERROR(IF('IP Input Sheet'!D36&lt;&gt;"",'IP Input Sheet'!D36,IF('IP Input Sheet'!E36&lt;&gt;"",'IP Input Sheet'!E36,'IP Input Sheet'!F36)),"[Enter IP]")</f>
        <v>10.3.118.0/24</v>
      </c>
      <c r="G34" s="19" t="s">
        <v>232</v>
      </c>
      <c r="H34" s="19" t="s">
        <v>191</v>
      </c>
      <c r="I34" s="19" t="s">
        <v>313</v>
      </c>
      <c r="J34" s="20" t="s">
        <v>193</v>
      </c>
      <c r="K34" s="21" t="s">
        <v>194</v>
      </c>
      <c r="L34" s="19" t="s">
        <v>195</v>
      </c>
      <c r="M34" s="19"/>
    </row>
    <row r="35" customFormat="false" ht="18" hidden="false" customHeight="true" outlineLevel="0" collapsed="false">
      <c r="A35" s="22" t="s">
        <v>314</v>
      </c>
      <c r="B35" s="22" t="s">
        <v>315</v>
      </c>
      <c r="C35" s="22" t="s">
        <v>316</v>
      </c>
      <c r="D35" s="22" t="str">
        <f aca="false">IFERROR(IF('IP Input Sheet'!D9&lt;&gt;"",'IP Input Sheet'!D9,IF('IP Input Sheet'!E9&lt;&gt;"",'IP Input Sheet'!E9,'IP Input Sheet'!F9)),"[Enter IP]")</f>
        <v>10.5.25.64/26</v>
      </c>
      <c r="E35" s="22" t="s">
        <v>37</v>
      </c>
      <c r="F35" s="22" t="str">
        <f aca="false">IFERROR(IF('IP Input Sheet'!D13&lt;&gt;"",'IP Input Sheet'!D13,IF('IP Input Sheet'!E13&lt;&gt;"",'IP Input Sheet'!E13,'IP Input Sheet'!F13)),"[Enter IP]")</f>
        <v>10.3.118.18</v>
      </c>
      <c r="G35" s="22" t="s">
        <v>317</v>
      </c>
      <c r="H35" s="22" t="s">
        <v>191</v>
      </c>
      <c r="I35" s="22" t="s">
        <v>318</v>
      </c>
      <c r="J35" s="20" t="s">
        <v>193</v>
      </c>
      <c r="K35" s="21" t="s">
        <v>194</v>
      </c>
      <c r="L35" s="22" t="s">
        <v>195</v>
      </c>
      <c r="M35" s="22" t="s">
        <v>319</v>
      </c>
    </row>
    <row r="36" customFormat="false" ht="18" hidden="false" customHeight="true" outlineLevel="0" collapsed="false">
      <c r="A36" s="19" t="s">
        <v>320</v>
      </c>
      <c r="B36" s="19" t="s">
        <v>321</v>
      </c>
      <c r="C36" s="19" t="s">
        <v>316</v>
      </c>
      <c r="D36" s="19" t="str">
        <f aca="false">IFERROR(IF('IP Input Sheet'!D9&lt;&gt;"",'IP Input Sheet'!D9,IF('IP Input Sheet'!E9&lt;&gt;"",'IP Input Sheet'!E9,'IP Input Sheet'!F9)),"[Enter IP]")</f>
        <v>10.5.25.64/26</v>
      </c>
      <c r="E36" s="19" t="s">
        <v>221</v>
      </c>
      <c r="F36" s="19" t="str">
        <f aca="false">IFERROR(IF('IP Input Sheet'!D14&lt;&gt;"",'IP Input Sheet'!D14,IF('IP Input Sheet'!E14&lt;&gt;"",'IP Input Sheet'!E14,'IP Input Sheet'!F14)),"[Enter IP]")</f>
        <v>10.3.118.0/24</v>
      </c>
      <c r="G36" s="19" t="s">
        <v>322</v>
      </c>
      <c r="H36" s="19" t="s">
        <v>211</v>
      </c>
      <c r="I36" s="19" t="s">
        <v>323</v>
      </c>
      <c r="J36" s="20" t="s">
        <v>193</v>
      </c>
      <c r="K36" s="21" t="s">
        <v>194</v>
      </c>
      <c r="L36" s="19" t="s">
        <v>195</v>
      </c>
      <c r="M36" s="19"/>
    </row>
    <row r="37" customFormat="false" ht="18" hidden="false" customHeight="true" outlineLevel="0" collapsed="false">
      <c r="A37" s="22" t="s">
        <v>324</v>
      </c>
      <c r="B37" s="22" t="s">
        <v>325</v>
      </c>
      <c r="C37" s="22" t="s">
        <v>316</v>
      </c>
      <c r="D37" s="22" t="str">
        <f aca="false">IFERROR(IF('IP Input Sheet'!D9&lt;&gt;"",'IP Input Sheet'!D9,IF('IP Input Sheet'!E9&lt;&gt;"",'IP Input Sheet'!E9,'IP Input Sheet'!F9)),"[Enter IP]")</f>
        <v>10.5.25.64/26</v>
      </c>
      <c r="E37" s="22" t="s">
        <v>206</v>
      </c>
      <c r="F37" s="22" t="str">
        <f aca="false">IFERROR(IF('IP Input Sheet'!D14&lt;&gt;"",'IP Input Sheet'!D14,IF('IP Input Sheet'!E14&lt;&gt;"",'IP Input Sheet'!E14,'IP Input Sheet'!F14)),"[Enter IP]")</f>
        <v>10.3.118.0/24</v>
      </c>
      <c r="G37" s="22" t="s">
        <v>190</v>
      </c>
      <c r="H37" s="22" t="s">
        <v>191</v>
      </c>
      <c r="I37" s="22" t="s">
        <v>326</v>
      </c>
      <c r="J37" s="20" t="s">
        <v>193</v>
      </c>
      <c r="K37" s="21" t="s">
        <v>194</v>
      </c>
      <c r="L37" s="22" t="s">
        <v>195</v>
      </c>
      <c r="M37" s="22"/>
    </row>
    <row r="38" customFormat="false" ht="18" hidden="false" customHeight="true" outlineLevel="0" collapsed="false">
      <c r="A38" s="19" t="s">
        <v>327</v>
      </c>
      <c r="B38" s="19" t="s">
        <v>328</v>
      </c>
      <c r="C38" s="19" t="s">
        <v>316</v>
      </c>
      <c r="D38" s="19" t="str">
        <f aca="false">IFERROR(IF('IP Input Sheet'!D9&lt;&gt;"",'IP Input Sheet'!D9,IF('IP Input Sheet'!E9&lt;&gt;"",'IP Input Sheet'!E9,'IP Input Sheet'!F9)),"[Enter IP]")</f>
        <v>10.5.25.64/26</v>
      </c>
      <c r="E38" s="19" t="s">
        <v>153</v>
      </c>
      <c r="F38" s="19" t="n">
        <f aca="false">'IP Input Sheet'!D42</f>
        <v>0</v>
      </c>
      <c r="G38" s="19" t="s">
        <v>210</v>
      </c>
      <c r="H38" s="19" t="s">
        <v>191</v>
      </c>
      <c r="I38" s="19" t="s">
        <v>329</v>
      </c>
      <c r="J38" s="20" t="s">
        <v>193</v>
      </c>
      <c r="K38" s="21" t="s">
        <v>194</v>
      </c>
      <c r="L38" s="19" t="s">
        <v>195</v>
      </c>
      <c r="M38" s="19"/>
    </row>
    <row r="39" customFormat="false" ht="18" hidden="false" customHeight="true" outlineLevel="0" collapsed="false">
      <c r="A39" s="22" t="s">
        <v>330</v>
      </c>
      <c r="B39" s="22" t="s">
        <v>331</v>
      </c>
      <c r="C39" s="22" t="s">
        <v>316</v>
      </c>
      <c r="D39" s="22" t="str">
        <f aca="false">IFERROR(IF('IP Input Sheet'!D9&lt;&gt;"",'IP Input Sheet'!D9,IF('IP Input Sheet'!E9&lt;&gt;"",'IP Input Sheet'!E9,'IP Input Sheet'!F9)),"[Enter IP]")</f>
        <v>10.5.25.64/26</v>
      </c>
      <c r="E39" s="22" t="s">
        <v>157</v>
      </c>
      <c r="F39" s="22" t="n">
        <f aca="false">'IP Input Sheet'!D43</f>
        <v>0</v>
      </c>
      <c r="G39" s="22" t="s">
        <v>216</v>
      </c>
      <c r="H39" s="22" t="s">
        <v>217</v>
      </c>
      <c r="I39" s="22" t="s">
        <v>332</v>
      </c>
      <c r="J39" s="20" t="s">
        <v>193</v>
      </c>
      <c r="K39" s="21" t="s">
        <v>194</v>
      </c>
      <c r="L39" s="22" t="s">
        <v>195</v>
      </c>
      <c r="M39" s="22"/>
    </row>
    <row r="40" customFormat="false" ht="18" hidden="false" customHeight="true" outlineLevel="0" collapsed="false">
      <c r="A40" s="19" t="s">
        <v>333</v>
      </c>
      <c r="B40" s="19" t="s">
        <v>334</v>
      </c>
      <c r="C40" s="19" t="s">
        <v>316</v>
      </c>
      <c r="D40" s="19" t="str">
        <f aca="false">IFERROR(IF('IP Input Sheet'!D9&lt;&gt;"",'IP Input Sheet'!D9,IF('IP Input Sheet'!E9&lt;&gt;"",'IP Input Sheet'!E9,'IP Input Sheet'!F9)),"[Enter IP]")</f>
        <v>10.5.25.64/26</v>
      </c>
      <c r="E40" s="19" t="s">
        <v>335</v>
      </c>
      <c r="F40" s="19" t="s">
        <v>336</v>
      </c>
      <c r="G40" s="19" t="s">
        <v>337</v>
      </c>
      <c r="H40" s="19" t="s">
        <v>191</v>
      </c>
      <c r="I40" s="19" t="s">
        <v>338</v>
      </c>
      <c r="J40" s="20" t="s">
        <v>193</v>
      </c>
      <c r="K40" s="21" t="s">
        <v>194</v>
      </c>
      <c r="L40" s="19" t="s">
        <v>195</v>
      </c>
      <c r="M40" s="19" t="s">
        <v>339</v>
      </c>
    </row>
    <row r="41" customFormat="false" ht="18" hidden="false" customHeight="true" outlineLevel="0" collapsed="false">
      <c r="A41" s="22" t="s">
        <v>340</v>
      </c>
      <c r="B41" s="22" t="s">
        <v>341</v>
      </c>
      <c r="C41" s="22" t="s">
        <v>316</v>
      </c>
      <c r="D41" s="22" t="str">
        <f aca="false">IFERROR(IF('IP Input Sheet'!D9&lt;&gt;"",'IP Input Sheet'!D9,IF('IP Input Sheet'!E9&lt;&gt;"",'IP Input Sheet'!E9,'IP Input Sheet'!F9)),"[Enter IP]")</f>
        <v>10.5.25.64/26</v>
      </c>
      <c r="E41" s="22" t="s">
        <v>342</v>
      </c>
      <c r="F41" s="22" t="str">
        <f aca="false">IFERROR(IF('IP Input Sheet'!D19&lt;&gt;"",'IP Input Sheet'!D19,IF('IP Input Sheet'!E19&lt;&gt;"",'IP Input Sheet'!E19,'IP Input Sheet'!F19)),"[Enter IP]")</f>
        <v>10.3.118.101</v>
      </c>
      <c r="G41" s="22" t="s">
        <v>190</v>
      </c>
      <c r="H41" s="22" t="s">
        <v>191</v>
      </c>
      <c r="I41" s="22" t="s">
        <v>343</v>
      </c>
      <c r="J41" s="20" t="s">
        <v>193</v>
      </c>
      <c r="K41" s="21" t="s">
        <v>194</v>
      </c>
      <c r="L41" s="22" t="s">
        <v>195</v>
      </c>
      <c r="M41" s="22" t="s">
        <v>344</v>
      </c>
    </row>
    <row r="42" customFormat="false" ht="18" hidden="false" customHeight="true" outlineLevel="0" collapsed="false">
      <c r="A42" s="19" t="s">
        <v>345</v>
      </c>
      <c r="B42" s="19" t="s">
        <v>346</v>
      </c>
      <c r="C42" s="19" t="s">
        <v>316</v>
      </c>
      <c r="D42" s="19" t="str">
        <f aca="false">IFERROR(IF('IP Input Sheet'!D9&lt;&gt;"",'IP Input Sheet'!D9,IF('IP Input Sheet'!E9&lt;&gt;"",'IP Input Sheet'!E9,'IP Input Sheet'!F9)),"[Enter IP]")</f>
        <v>10.5.25.64/26</v>
      </c>
      <c r="E42" s="19" t="s">
        <v>342</v>
      </c>
      <c r="F42" s="19" t="str">
        <f aca="false">IFERROR(IF('IP Input Sheet'!D19&lt;&gt;"",'IP Input Sheet'!D19,IF('IP Input Sheet'!E19&lt;&gt;"",'IP Input Sheet'!E19,'IP Input Sheet'!F19)),"[Enter IP]")</f>
        <v>10.3.118.101</v>
      </c>
      <c r="G42" s="19" t="s">
        <v>226</v>
      </c>
      <c r="H42" s="19" t="s">
        <v>191</v>
      </c>
      <c r="I42" s="19" t="s">
        <v>347</v>
      </c>
      <c r="J42" s="20" t="s">
        <v>193</v>
      </c>
      <c r="K42" s="21" t="s">
        <v>194</v>
      </c>
      <c r="L42" s="19" t="s">
        <v>195</v>
      </c>
      <c r="M42" s="19" t="s">
        <v>348</v>
      </c>
    </row>
    <row r="43" customFormat="false" ht="18" hidden="false" customHeight="true" outlineLevel="0" collapsed="false">
      <c r="A43" s="22" t="s">
        <v>349</v>
      </c>
      <c r="B43" s="22" t="s">
        <v>350</v>
      </c>
      <c r="C43" s="22" t="s">
        <v>15</v>
      </c>
      <c r="D43" s="22" t="str">
        <f aca="false">IFERROR(IF('IP Input Sheet'!D6&lt;&gt;"",'IP Input Sheet'!D6,IF('IP Input Sheet'!E6&lt;&gt;"",'IP Input Sheet'!E6,'IP Input Sheet'!F6)),"[Enter IP]")</f>
        <v>10.5.25.64/26</v>
      </c>
      <c r="E43" s="22" t="s">
        <v>342</v>
      </c>
      <c r="F43" s="22" t="str">
        <f aca="false">IFERROR(IF('IP Input Sheet'!D19&lt;&gt;"",'IP Input Sheet'!D19,IF('IP Input Sheet'!E19&lt;&gt;"",'IP Input Sheet'!E19,'IP Input Sheet'!F19)),"[Enter IP]")</f>
        <v>10.3.118.101</v>
      </c>
      <c r="G43" s="22" t="s">
        <v>190</v>
      </c>
      <c r="H43" s="22" t="s">
        <v>191</v>
      </c>
      <c r="I43" s="22" t="s">
        <v>351</v>
      </c>
      <c r="J43" s="20" t="s">
        <v>193</v>
      </c>
      <c r="K43" s="21" t="s">
        <v>194</v>
      </c>
      <c r="L43" s="22" t="s">
        <v>195</v>
      </c>
      <c r="M43" s="22" t="s">
        <v>352</v>
      </c>
    </row>
    <row r="44" customFormat="false" ht="18" hidden="false" customHeight="true" outlineLevel="0" collapsed="false">
      <c r="A44" s="23" t="s">
        <v>353</v>
      </c>
      <c r="B44" s="23" t="s">
        <v>354</v>
      </c>
      <c r="C44" s="23" t="s">
        <v>355</v>
      </c>
      <c r="D44" s="23" t="str">
        <f aca="false">IFERROR(IF('IP Input Sheet'!D5&lt;&gt;"",'IP Input Sheet'!D5,IF('IP Input Sheet'!E5&lt;&gt;"",'IP Input Sheet'!E5,'IP Input Sheet'!F5)),"[Enter IP]")</f>
        <v>10.3.118.28</v>
      </c>
      <c r="E44" s="23" t="s">
        <v>356</v>
      </c>
      <c r="F44" s="23" t="str">
        <f aca="false">IFERROR(IF('IP Input Sheet'!D19&lt;&gt;"",'IP Input Sheet'!D19,IF('IP Input Sheet'!E19&lt;&gt;"",'IP Input Sheet'!E19,'IP Input Sheet'!F19)),"[Enter IP]")</f>
        <v>10.3.118.101</v>
      </c>
      <c r="G44" s="23" t="s">
        <v>357</v>
      </c>
      <c r="H44" s="23" t="s">
        <v>191</v>
      </c>
      <c r="I44" s="23" t="s">
        <v>358</v>
      </c>
      <c r="J44" s="24" t="s">
        <v>193</v>
      </c>
      <c r="K44" s="25" t="s">
        <v>194</v>
      </c>
      <c r="L44" s="23" t="s">
        <v>200</v>
      </c>
      <c r="M44" s="23" t="s">
        <v>359</v>
      </c>
    </row>
    <row r="45" customFormat="false" ht="18" hidden="false" customHeight="true" outlineLevel="0" collapsed="false">
      <c r="A45" s="26" t="s">
        <v>360</v>
      </c>
      <c r="B45" s="26" t="s">
        <v>361</v>
      </c>
      <c r="C45" s="26" t="s">
        <v>362</v>
      </c>
      <c r="D45" s="26" t="str">
        <f aca="false">IFERROR(IF('IP Input Sheet'!D21&lt;&gt;"",'IP Input Sheet'!D21,IF('IP Input Sheet'!E21&lt;&gt;"",'IP Input Sheet'!E21,'IP Input Sheet'!F21)),"[Enter IP]")</f>
        <v>10.3.111.101</v>
      </c>
      <c r="E45" s="26" t="s">
        <v>363</v>
      </c>
      <c r="F45" s="26" t="str">
        <f aca="false">IFERROR(IF('IP Input Sheet'!D31&lt;&gt;"",'IP Input Sheet'!D31,IF('IP Input Sheet'!E31&lt;&gt;"",'IP Input Sheet'!E31,'IP Input Sheet'!F31)),"[Enter IP]")</f>
        <v>10.3.111.97</v>
      </c>
      <c r="G45" s="26" t="s">
        <v>357</v>
      </c>
      <c r="H45" s="26" t="s">
        <v>191</v>
      </c>
      <c r="I45" s="26" t="s">
        <v>358</v>
      </c>
      <c r="J45" s="24" t="s">
        <v>193</v>
      </c>
      <c r="K45" s="25" t="s">
        <v>194</v>
      </c>
      <c r="L45" s="26" t="s">
        <v>200</v>
      </c>
      <c r="M45" s="26" t="s">
        <v>364</v>
      </c>
    </row>
    <row r="46" customFormat="false" ht="18" hidden="false" customHeight="true" outlineLevel="0" collapsed="false">
      <c r="A46" s="23" t="s">
        <v>365</v>
      </c>
      <c r="B46" s="23" t="s">
        <v>366</v>
      </c>
      <c r="C46" s="23" t="s">
        <v>367</v>
      </c>
      <c r="D46" s="23" t="str">
        <f aca="false">IFERROR(IF('IP Input Sheet'!D22&lt;&gt;"",'IP Input Sheet'!D22,IF('IP Input Sheet'!E22&lt;&gt;"",'IP Input Sheet'!E22,'IP Input Sheet'!F22)),"[Enter IP]")</f>
        <v>10.3.111.121</v>
      </c>
      <c r="E46" s="23" t="s">
        <v>356</v>
      </c>
      <c r="F46" s="23" t="str">
        <f aca="false">IFERROR(IF('IP Input Sheet'!D32&lt;&gt;"",'IP Input Sheet'!D32,IF('IP Input Sheet'!E32&lt;&gt;"",'IP Input Sheet'!E32,'IP Input Sheet'!F32)),"[Enter IP]")</f>
        <v>10.3.111.113</v>
      </c>
      <c r="G46" s="23" t="s">
        <v>357</v>
      </c>
      <c r="H46" s="23" t="s">
        <v>191</v>
      </c>
      <c r="I46" s="23" t="s">
        <v>358</v>
      </c>
      <c r="J46" s="24" t="s">
        <v>193</v>
      </c>
      <c r="K46" s="25" t="s">
        <v>194</v>
      </c>
      <c r="L46" s="23" t="s">
        <v>200</v>
      </c>
      <c r="M46" s="23" t="s">
        <v>368</v>
      </c>
    </row>
    <row r="47" customFormat="false" ht="18" hidden="false" customHeight="true" outlineLevel="0" collapsed="false">
      <c r="A47" s="26" t="s">
        <v>369</v>
      </c>
      <c r="B47" s="26" t="s">
        <v>370</v>
      </c>
      <c r="C47" s="26" t="s">
        <v>371</v>
      </c>
      <c r="D47" s="26" t="str">
        <f aca="false">IFERROR(IF('IP Input Sheet'!D23&lt;&gt;"",'IP Input Sheet'!D23,IF('IP Input Sheet'!E23&lt;&gt;"",'IP Input Sheet'!E23,'IP Input Sheet'!F23)),"[Enter IP]")</f>
        <v>10.3.111.102</v>
      </c>
      <c r="E47" s="26" t="s">
        <v>363</v>
      </c>
      <c r="F47" s="26" t="str">
        <f aca="false">IFERROR(IF('IP Input Sheet'!D31&lt;&gt;"",'IP Input Sheet'!D31,IF('IP Input Sheet'!E31&lt;&gt;"",'IP Input Sheet'!E31,'IP Input Sheet'!F31)),"[Enter IP]")</f>
        <v>10.3.111.97</v>
      </c>
      <c r="G47" s="26" t="s">
        <v>357</v>
      </c>
      <c r="H47" s="26" t="s">
        <v>191</v>
      </c>
      <c r="I47" s="26" t="s">
        <v>358</v>
      </c>
      <c r="J47" s="24" t="s">
        <v>193</v>
      </c>
      <c r="K47" s="25" t="s">
        <v>194</v>
      </c>
      <c r="L47" s="26" t="s">
        <v>200</v>
      </c>
      <c r="M47" s="26" t="s">
        <v>372</v>
      </c>
    </row>
    <row r="48" customFormat="false" ht="18" hidden="false" customHeight="true" outlineLevel="0" collapsed="false">
      <c r="A48" s="23" t="s">
        <v>373</v>
      </c>
      <c r="B48" s="23" t="s">
        <v>374</v>
      </c>
      <c r="C48" s="23" t="s">
        <v>375</v>
      </c>
      <c r="D48" s="23" t="str">
        <f aca="false">IFERROR(IF('IP Input Sheet'!D24&lt;&gt;"",'IP Input Sheet'!D24,IF('IP Input Sheet'!E24&lt;&gt;"",'IP Input Sheet'!E24,'IP Input Sheet'!F24)),"[Enter IP]")</f>
        <v>10.3.111.122</v>
      </c>
      <c r="E48" s="23" t="s">
        <v>376</v>
      </c>
      <c r="F48" s="23" t="str">
        <f aca="false">IFERROR(IF('IP Input Sheet'!D32&lt;&gt;"",'IP Input Sheet'!D32,IF('IP Input Sheet'!E32&lt;&gt;"",'IP Input Sheet'!E32,'IP Input Sheet'!F32)),"[Enter IP]")</f>
        <v>10.3.111.113</v>
      </c>
      <c r="G48" s="23" t="s">
        <v>357</v>
      </c>
      <c r="H48" s="23" t="s">
        <v>191</v>
      </c>
      <c r="I48" s="23" t="s">
        <v>358</v>
      </c>
      <c r="J48" s="24" t="s">
        <v>193</v>
      </c>
      <c r="K48" s="25" t="s">
        <v>194</v>
      </c>
      <c r="L48" s="23" t="s">
        <v>200</v>
      </c>
      <c r="M48" s="23" t="s">
        <v>377</v>
      </c>
    </row>
    <row r="49" customFormat="false" ht="18" hidden="false" customHeight="true" outlineLevel="0" collapsed="false">
      <c r="A49" s="26" t="s">
        <v>378</v>
      </c>
      <c r="B49" s="26" t="s">
        <v>379</v>
      </c>
      <c r="C49" s="26" t="s">
        <v>380</v>
      </c>
      <c r="D49" s="26" t="str">
        <f aca="false">IFERROR(IF('IP Input Sheet'!D25&lt;&gt;"",'IP Input Sheet'!D25,IF('IP Input Sheet'!E25&lt;&gt;"",'IP Input Sheet'!E25,'IP Input Sheet'!F25)),"[Enter IP]")</f>
        <v>10.3.111.133</v>
      </c>
      <c r="E49" s="26" t="s">
        <v>381</v>
      </c>
      <c r="F49" s="26" t="str">
        <f aca="false">IFERROR(IF('IP Input Sheet'!D33&lt;&gt;"",'IP Input Sheet'!D33,IF('IP Input Sheet'!E33&lt;&gt;"",'IP Input Sheet'!E33,'IP Input Sheet'!F33)),"[Enter IP]")</f>
        <v>10.3.111.129</v>
      </c>
      <c r="G49" s="26" t="s">
        <v>357</v>
      </c>
      <c r="H49" s="26" t="s">
        <v>191</v>
      </c>
      <c r="I49" s="26" t="s">
        <v>358</v>
      </c>
      <c r="J49" s="24" t="s">
        <v>193</v>
      </c>
      <c r="K49" s="25" t="s">
        <v>194</v>
      </c>
      <c r="L49" s="26" t="s">
        <v>200</v>
      </c>
      <c r="M49" s="26" t="s">
        <v>382</v>
      </c>
    </row>
    <row r="50" customFormat="false" ht="18" hidden="false" customHeight="true" outlineLevel="0" collapsed="false">
      <c r="A50" s="23" t="s">
        <v>383</v>
      </c>
      <c r="B50" s="23" t="s">
        <v>384</v>
      </c>
      <c r="C50" s="23" t="s">
        <v>385</v>
      </c>
      <c r="D50" s="23" t="str">
        <f aca="false">IFERROR(IF('IP Input Sheet'!D26&lt;&gt;"",'IP Input Sheet'!D26,IF('IP Input Sheet'!E26&lt;&gt;"",'IP Input Sheet'!E26,'IP Input Sheet'!F26)),"[Enter IP]")</f>
        <v>10.3.111.153</v>
      </c>
      <c r="E50" s="23" t="s">
        <v>376</v>
      </c>
      <c r="F50" s="23" t="str">
        <f aca="false">IFERROR(IF('IP Input Sheet'!D34&lt;&gt;"",'IP Input Sheet'!D34,IF('IP Input Sheet'!E34&lt;&gt;"",'IP Input Sheet'!E34,'IP Input Sheet'!F34)),"[Enter IP]")</f>
        <v>10.3.111.145</v>
      </c>
      <c r="G50" s="23" t="s">
        <v>357</v>
      </c>
      <c r="H50" s="23" t="s">
        <v>191</v>
      </c>
      <c r="I50" s="23" t="s">
        <v>358</v>
      </c>
      <c r="J50" s="24" t="s">
        <v>193</v>
      </c>
      <c r="K50" s="25" t="s">
        <v>194</v>
      </c>
      <c r="L50" s="23" t="s">
        <v>200</v>
      </c>
      <c r="M50" s="23" t="s">
        <v>386</v>
      </c>
    </row>
    <row r="51" customFormat="false" ht="18" hidden="false" customHeight="true" outlineLevel="0" collapsed="false">
      <c r="A51" s="26" t="s">
        <v>387</v>
      </c>
      <c r="B51" s="26" t="s">
        <v>388</v>
      </c>
      <c r="C51" s="26" t="s">
        <v>389</v>
      </c>
      <c r="D51" s="26" t="str">
        <f aca="false">IFERROR(IF('IP Input Sheet'!D27&lt;&gt;"",'IP Input Sheet'!D27,IF('IP Input Sheet'!E27&lt;&gt;"",'IP Input Sheet'!E27,'IP Input Sheet'!F27)),"[Enter IP]")</f>
        <v>10.3.111.134</v>
      </c>
      <c r="E51" s="26" t="s">
        <v>381</v>
      </c>
      <c r="F51" s="26" t="str">
        <f aca="false">IFERROR(IF('IP Input Sheet'!D33&lt;&gt;"",'IP Input Sheet'!D33,IF('IP Input Sheet'!E33&lt;&gt;"",'IP Input Sheet'!E33,'IP Input Sheet'!F33)),"[Enter IP]")</f>
        <v>10.3.111.129</v>
      </c>
      <c r="G51" s="26" t="s">
        <v>357</v>
      </c>
      <c r="H51" s="26" t="s">
        <v>191</v>
      </c>
      <c r="I51" s="26" t="s">
        <v>358</v>
      </c>
      <c r="J51" s="24" t="s">
        <v>193</v>
      </c>
      <c r="K51" s="25" t="s">
        <v>194</v>
      </c>
      <c r="L51" s="26" t="s">
        <v>200</v>
      </c>
      <c r="M51" s="26" t="s">
        <v>390</v>
      </c>
    </row>
    <row r="52" customFormat="false" ht="18" hidden="false" customHeight="true" outlineLevel="0" collapsed="false">
      <c r="A52" s="23" t="s">
        <v>391</v>
      </c>
      <c r="B52" s="23" t="s">
        <v>392</v>
      </c>
      <c r="C52" s="23" t="s">
        <v>393</v>
      </c>
      <c r="D52" s="23" t="str">
        <f aca="false">IFERROR(IF('IP Input Sheet'!D28&lt;&gt;"",'IP Input Sheet'!D28,IF('IP Input Sheet'!E28&lt;&gt;"",'IP Input Sheet'!E28,'IP Input Sheet'!F28)),"[Enter IP]")</f>
        <v>10.3.111.154</v>
      </c>
      <c r="E52" s="23" t="s">
        <v>394</v>
      </c>
      <c r="F52" s="23" t="str">
        <f aca="false">IFERROR(IF('IP Input Sheet'!D34&lt;&gt;"",'IP Input Sheet'!D34,IF('IP Input Sheet'!E34&lt;&gt;"",'IP Input Sheet'!E34,'IP Input Sheet'!F34)),"[Enter IP]")</f>
        <v>10.3.111.145</v>
      </c>
      <c r="G52" s="23" t="s">
        <v>395</v>
      </c>
      <c r="H52" s="23" t="s">
        <v>217</v>
      </c>
      <c r="I52" s="23" t="s">
        <v>396</v>
      </c>
      <c r="J52" s="24" t="s">
        <v>193</v>
      </c>
      <c r="K52" s="25" t="s">
        <v>194</v>
      </c>
      <c r="L52" s="23" t="s">
        <v>200</v>
      </c>
      <c r="M52" s="23" t="s">
        <v>397</v>
      </c>
    </row>
    <row r="53" customFormat="false" ht="18" hidden="false" customHeight="true" outlineLevel="0" collapsed="false">
      <c r="A53" s="26" t="s">
        <v>398</v>
      </c>
      <c r="B53" s="26" t="s">
        <v>399</v>
      </c>
      <c r="C53" s="26" t="s">
        <v>393</v>
      </c>
      <c r="D53" s="26" t="str">
        <f aca="false">IFERROR(IF('IP Input Sheet'!D29&lt;&gt;"",'IP Input Sheet'!D29,IF('IP Input Sheet'!E29&lt;&gt;"",'IP Input Sheet'!E29,'IP Input Sheet'!F29)),"[Enter IP]")</f>
        <v>10.5.236.0/24</v>
      </c>
      <c r="E53" s="26" t="s">
        <v>400</v>
      </c>
      <c r="F53" s="26" t="str">
        <f aca="false">IFERROR(IF('IP Input Sheet'!D18&lt;&gt;"",'IP Input Sheet'!D18,IF('IP Input Sheet'!E18&lt;&gt;"",'IP Input Sheet'!E18,'IP Input Sheet'!F18)),"[Enter IP]")</f>
        <v>10.3.118.0/24</v>
      </c>
      <c r="G53" s="26" t="s">
        <v>395</v>
      </c>
      <c r="H53" s="26" t="s">
        <v>217</v>
      </c>
      <c r="I53" s="26" t="s">
        <v>401</v>
      </c>
      <c r="J53" s="24" t="s">
        <v>193</v>
      </c>
      <c r="K53" s="25" t="s">
        <v>194</v>
      </c>
      <c r="L53" s="26" t="s">
        <v>200</v>
      </c>
      <c r="M53" s="26" t="s">
        <v>402</v>
      </c>
    </row>
    <row r="54" customFormat="false" ht="18" hidden="false" customHeight="true" outlineLevel="0" collapsed="false">
      <c r="A54" s="23" t="s">
        <v>403</v>
      </c>
      <c r="B54" s="23" t="s">
        <v>404</v>
      </c>
      <c r="C54" s="23" t="s">
        <v>405</v>
      </c>
      <c r="D54" s="23" t="str">
        <f aca="false">IFERROR(IF('IP Input Sheet'!D29&lt;&gt;"",'IP Input Sheet'!D29,IF('IP Input Sheet'!E29&lt;&gt;"",'IP Input Sheet'!E29,'IP Input Sheet'!F29)),"[Enter IP]")</f>
        <v>10.5.236.0/24</v>
      </c>
      <c r="E54" s="23" t="s">
        <v>406</v>
      </c>
      <c r="F54" s="23" t="str">
        <f aca="false">IFERROR(IF('IP Input Sheet'!D29&lt;&gt;"",'IP Input Sheet'!D29,IF('IP Input Sheet'!E29&lt;&gt;"",'IP Input Sheet'!E29,'IP Input Sheet'!F29)),"[Enter IP]")</f>
        <v>10.5.236.0/24</v>
      </c>
      <c r="G54" s="23" t="s">
        <v>395</v>
      </c>
      <c r="H54" s="23" t="s">
        <v>217</v>
      </c>
      <c r="I54" s="23" t="s">
        <v>407</v>
      </c>
      <c r="J54" s="24" t="s">
        <v>193</v>
      </c>
      <c r="K54" s="25" t="s">
        <v>194</v>
      </c>
      <c r="L54" s="23" t="s">
        <v>200</v>
      </c>
      <c r="M54" s="23" t="s">
        <v>408</v>
      </c>
    </row>
    <row r="55" customFormat="false" ht="18" hidden="false" customHeight="true" outlineLevel="0" collapsed="false">
      <c r="A55" s="26" t="s">
        <v>409</v>
      </c>
      <c r="B55" s="26" t="s">
        <v>410</v>
      </c>
      <c r="C55" s="26" t="s">
        <v>411</v>
      </c>
      <c r="D55" s="26" t="str">
        <f aca="false">IFERROR(IF('IP Input Sheet'!D30&lt;&gt;"",'IP Input Sheet'!D30,IF('IP Input Sheet'!E30&lt;&gt;"",'IP Input Sheet'!E30,'IP Input Sheet'!F30)),"[Enter IP]")</f>
        <v>10.5.22.0/24</v>
      </c>
      <c r="E55" s="26" t="s">
        <v>412</v>
      </c>
      <c r="F55" s="26" t="str">
        <f aca="false">IFERROR(IF('IP Input Sheet'!D30&lt;&gt;"",'IP Input Sheet'!D30,IF('IP Input Sheet'!E30&lt;&gt;"",'IP Input Sheet'!E30,'IP Input Sheet'!F30)),"[Enter IP]")</f>
        <v>10.5.22.0/24</v>
      </c>
      <c r="G55" s="26" t="s">
        <v>413</v>
      </c>
      <c r="H55" s="26" t="s">
        <v>217</v>
      </c>
      <c r="I55" s="26" t="s">
        <v>414</v>
      </c>
      <c r="J55" s="24" t="s">
        <v>193</v>
      </c>
      <c r="K55" s="25" t="s">
        <v>194</v>
      </c>
      <c r="L55" s="26" t="s">
        <v>200</v>
      </c>
      <c r="M55" s="26" t="s">
        <v>359</v>
      </c>
    </row>
    <row r="56" customFormat="false" ht="18" hidden="false" customHeight="true" outlineLevel="0" collapsed="false">
      <c r="A56" s="23" t="s">
        <v>415</v>
      </c>
      <c r="B56" s="23" t="s">
        <v>416</v>
      </c>
      <c r="C56" s="23" t="s">
        <v>417</v>
      </c>
      <c r="D56" s="23" t="str">
        <f aca="false">IFERROR(IF('IP Input Sheet'!D21&lt;&gt;"",'IP Input Sheet'!D21,IF('IP Input Sheet'!E21&lt;&gt;"",'IP Input Sheet'!E21,'IP Input Sheet'!F21)),"[Enter IP]")</f>
        <v>10.3.111.101</v>
      </c>
      <c r="E56" s="23" t="s">
        <v>418</v>
      </c>
      <c r="F56" s="23" t="str">
        <f aca="false">IFERROR(IF('IP Input Sheet'!D31&lt;&gt;"",'IP Input Sheet'!D31,IF('IP Input Sheet'!E31&lt;&gt;"",'IP Input Sheet'!E31,'IP Input Sheet'!F31)),"[Enter IP]")</f>
        <v>10.3.111.97</v>
      </c>
      <c r="G56" s="23" t="s">
        <v>413</v>
      </c>
      <c r="H56" s="23" t="s">
        <v>217</v>
      </c>
      <c r="I56" s="23" t="s">
        <v>414</v>
      </c>
      <c r="J56" s="24" t="s">
        <v>193</v>
      </c>
      <c r="K56" s="25" t="s">
        <v>194</v>
      </c>
      <c r="L56" s="23" t="s">
        <v>200</v>
      </c>
      <c r="M56" s="23" t="s">
        <v>364</v>
      </c>
    </row>
    <row r="57" customFormat="false" ht="18" hidden="false" customHeight="true" outlineLevel="0" collapsed="false">
      <c r="A57" s="26" t="s">
        <v>419</v>
      </c>
      <c r="B57" s="26" t="s">
        <v>420</v>
      </c>
      <c r="C57" s="26" t="s">
        <v>421</v>
      </c>
      <c r="D57" s="26" t="str">
        <f aca="false">IFERROR(IF('IP Input Sheet'!D22&lt;&gt;"",'IP Input Sheet'!D22,IF('IP Input Sheet'!E22&lt;&gt;"",'IP Input Sheet'!E22,'IP Input Sheet'!F22)),"[Enter IP]")</f>
        <v>10.3.111.121</v>
      </c>
      <c r="E57" s="26" t="s">
        <v>422</v>
      </c>
      <c r="F57" s="26" t="str">
        <f aca="false">IFERROR(IF('IP Input Sheet'!D32&lt;&gt;"",'IP Input Sheet'!D32,IF('IP Input Sheet'!E32&lt;&gt;"",'IP Input Sheet'!E32,'IP Input Sheet'!F32)),"[Enter IP]")</f>
        <v>10.3.111.113</v>
      </c>
      <c r="G57" s="26" t="s">
        <v>413</v>
      </c>
      <c r="H57" s="26" t="s">
        <v>217</v>
      </c>
      <c r="I57" s="26" t="s">
        <v>414</v>
      </c>
      <c r="J57" s="24" t="s">
        <v>193</v>
      </c>
      <c r="K57" s="25" t="s">
        <v>194</v>
      </c>
      <c r="L57" s="26" t="s">
        <v>200</v>
      </c>
      <c r="M57" s="26" t="s">
        <v>377</v>
      </c>
    </row>
    <row r="58" customFormat="false" ht="18" hidden="false" customHeight="true" outlineLevel="0" collapsed="false">
      <c r="A58" s="23" t="s">
        <v>423</v>
      </c>
      <c r="B58" s="23" t="s">
        <v>424</v>
      </c>
      <c r="C58" s="23" t="s">
        <v>425</v>
      </c>
      <c r="D58" s="23" t="str">
        <f aca="false">IFERROR(IF('IP Input Sheet'!D25&lt;&gt;"",'IP Input Sheet'!D25,IF('IP Input Sheet'!E25&lt;&gt;"",'IP Input Sheet'!E25,'IP Input Sheet'!F25)),"[Enter IP]")</f>
        <v>10.3.111.133</v>
      </c>
      <c r="E58" s="23" t="s">
        <v>426</v>
      </c>
      <c r="F58" s="23" t="str">
        <f aca="false">IFERROR(IF('IP Input Sheet'!D33&lt;&gt;"",'IP Input Sheet'!D33,IF('IP Input Sheet'!E33&lt;&gt;"",'IP Input Sheet'!E33,'IP Input Sheet'!F33)),"[Enter IP]")</f>
        <v>10.3.111.129</v>
      </c>
      <c r="G58" s="23" t="s">
        <v>413</v>
      </c>
      <c r="H58" s="23" t="s">
        <v>217</v>
      </c>
      <c r="I58" s="23" t="s">
        <v>414</v>
      </c>
      <c r="J58" s="24" t="s">
        <v>193</v>
      </c>
      <c r="K58" s="25" t="s">
        <v>194</v>
      </c>
      <c r="L58" s="23" t="s">
        <v>200</v>
      </c>
      <c r="M58" s="23" t="s">
        <v>382</v>
      </c>
    </row>
    <row r="59" customFormat="false" ht="15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3" min="13" style="0" width="38"/>
  </cols>
  <sheetData>
    <row r="1" customFormat="false" ht="27.75" hidden="false" customHeight="true" outlineLevel="0" collapsed="false">
      <c r="A1" s="18" t="s">
        <v>427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8" hidden="false" customHeight="tru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182</v>
      </c>
      <c r="I3" s="3" t="s">
        <v>183</v>
      </c>
      <c r="J3" s="3" t="s">
        <v>184</v>
      </c>
      <c r="K3" s="3" t="s">
        <v>185</v>
      </c>
      <c r="L3" s="3" t="s">
        <v>186</v>
      </c>
      <c r="M3" s="3" t="s">
        <v>187</v>
      </c>
    </row>
    <row r="4" customFormat="false" ht="18" hidden="false" customHeight="true" outlineLevel="0" collapsed="false">
      <c r="A4" s="19" t="s">
        <v>428</v>
      </c>
      <c r="B4" s="19" t="s">
        <v>429</v>
      </c>
      <c r="C4" s="19" t="s">
        <v>37</v>
      </c>
      <c r="D4" s="19" t="str">
        <f aca="false">IFERROR(IF('IP Input Sheet'!D13&lt;&gt;"",'IP Input Sheet'!D13,IF('IP Input Sheet'!E13&lt;&gt;"",'IP Input Sheet'!E13,'IP Input Sheet'!F13)),"[Enter IP]")</f>
        <v>10.3.118.18</v>
      </c>
      <c r="E4" s="19" t="s">
        <v>430</v>
      </c>
      <c r="F4" s="19" t="str">
        <f aca="false">IFERROR(IF('IP Input Sheet'!D5&lt;&gt;"",'IP Input Sheet'!D5,IF('IP Input Sheet'!E5&lt;&gt;"",'IP Input Sheet'!E5,'IP Input Sheet'!F5)),"[Enter IP]")</f>
        <v>10.3.118.28</v>
      </c>
      <c r="G4" s="19" t="s">
        <v>190</v>
      </c>
      <c r="H4" s="19" t="s">
        <v>191</v>
      </c>
      <c r="I4" s="19" t="s">
        <v>431</v>
      </c>
      <c r="J4" s="20" t="s">
        <v>193</v>
      </c>
      <c r="K4" s="21" t="s">
        <v>194</v>
      </c>
      <c r="L4" s="19" t="s">
        <v>195</v>
      </c>
      <c r="M4" s="19" t="s">
        <v>432</v>
      </c>
    </row>
    <row r="5" customFormat="false" ht="18" hidden="false" customHeight="true" outlineLevel="0" collapsed="false">
      <c r="A5" s="22" t="s">
        <v>433</v>
      </c>
      <c r="B5" s="22" t="s">
        <v>434</v>
      </c>
      <c r="C5" s="22" t="s">
        <v>37</v>
      </c>
      <c r="D5" s="22" t="str">
        <f aca="false">IFERROR(IF('IP Input Sheet'!D13&lt;&gt;"",'IP Input Sheet'!D13,IF('IP Input Sheet'!E13&lt;&gt;"",'IP Input Sheet'!E13,'IP Input Sheet'!F13)),"[Enter IP]")</f>
        <v>10.3.118.18</v>
      </c>
      <c r="E5" s="22" t="s">
        <v>15</v>
      </c>
      <c r="F5" s="22" t="str">
        <f aca="false">IFERROR(IF('IP Input Sheet'!D6&lt;&gt;"",'IP Input Sheet'!D6,IF('IP Input Sheet'!E6&lt;&gt;"",'IP Input Sheet'!E6,'IP Input Sheet'!F6)),"[Enter IP]")</f>
        <v>10.5.25.64/26</v>
      </c>
      <c r="G5" s="22" t="s">
        <v>190</v>
      </c>
      <c r="H5" s="22" t="s">
        <v>191</v>
      </c>
      <c r="I5" s="22" t="s">
        <v>435</v>
      </c>
      <c r="J5" s="20" t="s">
        <v>193</v>
      </c>
      <c r="K5" s="21" t="s">
        <v>194</v>
      </c>
      <c r="L5" s="22" t="s">
        <v>200</v>
      </c>
      <c r="M5" s="22"/>
    </row>
    <row r="6" customFormat="false" ht="18" hidden="false" customHeight="true" outlineLevel="0" collapsed="false">
      <c r="A6" s="19" t="s">
        <v>436</v>
      </c>
      <c r="B6" s="19" t="s">
        <v>437</v>
      </c>
      <c r="C6" s="19" t="s">
        <v>37</v>
      </c>
      <c r="D6" s="19" t="str">
        <f aca="false">IFERROR(IF('IP Input Sheet'!D13&lt;&gt;"",'IP Input Sheet'!D13,IF('IP Input Sheet'!E13&lt;&gt;"",'IP Input Sheet'!E13,'IP Input Sheet'!F13)),"[Enter IP]")</f>
        <v>10.3.118.18</v>
      </c>
      <c r="E6" s="19" t="s">
        <v>15</v>
      </c>
      <c r="F6" s="19" t="str">
        <f aca="false">IFERROR(IF('IP Input Sheet'!D6&lt;&gt;"",'IP Input Sheet'!D6,IF('IP Input Sheet'!E6&lt;&gt;"",'IP Input Sheet'!E6,'IP Input Sheet'!F6)),"[Enter IP]")</f>
        <v>10.5.25.64/26</v>
      </c>
      <c r="G6" s="19" t="s">
        <v>438</v>
      </c>
      <c r="H6" s="19" t="s">
        <v>191</v>
      </c>
      <c r="I6" s="19" t="s">
        <v>439</v>
      </c>
      <c r="J6" s="20" t="s">
        <v>193</v>
      </c>
      <c r="K6" s="21" t="s">
        <v>194</v>
      </c>
      <c r="L6" s="19" t="s">
        <v>195</v>
      </c>
      <c r="M6" s="19"/>
    </row>
    <row r="7" customFormat="false" ht="18" hidden="false" customHeight="true" outlineLevel="0" collapsed="false">
      <c r="A7" s="22" t="s">
        <v>440</v>
      </c>
      <c r="B7" s="22" t="s">
        <v>441</v>
      </c>
      <c r="C7" s="22" t="s">
        <v>37</v>
      </c>
      <c r="D7" s="22" t="str">
        <f aca="false">IFERROR(IF('IP Input Sheet'!D13&lt;&gt;"",'IP Input Sheet'!D13,IF('IP Input Sheet'!E13&lt;&gt;"",'IP Input Sheet'!E13,'IP Input Sheet'!F13)),"[Enter IP]")</f>
        <v>10.3.118.18</v>
      </c>
      <c r="E7" s="22" t="s">
        <v>19</v>
      </c>
      <c r="F7" s="22" t="str">
        <f aca="false">IFERROR(IF('IP Input Sheet'!D7&lt;&gt;"",'IP Input Sheet'!D7,IF('IP Input Sheet'!E7&lt;&gt;"",'IP Input Sheet'!E7,'IP Input Sheet'!F7)),"[Enter IP]")</f>
        <v>10.5.25.64/26</v>
      </c>
      <c r="G7" s="22" t="s">
        <v>190</v>
      </c>
      <c r="H7" s="22" t="s">
        <v>191</v>
      </c>
      <c r="I7" s="22" t="s">
        <v>442</v>
      </c>
      <c r="J7" s="20" t="s">
        <v>193</v>
      </c>
      <c r="K7" s="21" t="s">
        <v>194</v>
      </c>
      <c r="L7" s="22" t="s">
        <v>200</v>
      </c>
      <c r="M7" s="22"/>
    </row>
    <row r="8" customFormat="false" ht="18" hidden="false" customHeight="true" outlineLevel="0" collapsed="false">
      <c r="A8" s="19" t="s">
        <v>443</v>
      </c>
      <c r="B8" s="19" t="s">
        <v>444</v>
      </c>
      <c r="C8" s="19" t="s">
        <v>37</v>
      </c>
      <c r="D8" s="19" t="str">
        <f aca="false">IFERROR(IF('IP Input Sheet'!D13&lt;&gt;"",'IP Input Sheet'!D13,IF('IP Input Sheet'!E13&lt;&gt;"",'IP Input Sheet'!E13,'IP Input Sheet'!F13)),"[Enter IP]")</f>
        <v>10.3.118.18</v>
      </c>
      <c r="E8" s="19" t="s">
        <v>445</v>
      </c>
      <c r="F8" s="19" t="str">
        <f aca="false">IFERROR(IF('IP Input Sheet'!D8&lt;&gt;"",'IP Input Sheet'!D8,IF('IP Input Sheet'!E8&lt;&gt;"",'IP Input Sheet'!E8,'IP Input Sheet'!F8)),"[Enter IP]")</f>
        <v>10.5.25.64/26</v>
      </c>
      <c r="G8" s="19" t="s">
        <v>446</v>
      </c>
      <c r="H8" s="19" t="s">
        <v>211</v>
      </c>
      <c r="I8" s="19" t="s">
        <v>447</v>
      </c>
      <c r="J8" s="20" t="s">
        <v>193</v>
      </c>
      <c r="K8" s="21" t="s">
        <v>194</v>
      </c>
      <c r="L8" s="19" t="s">
        <v>195</v>
      </c>
      <c r="M8" s="19"/>
    </row>
    <row r="9" customFormat="false" ht="18" hidden="false" customHeight="true" outlineLevel="0" collapsed="false">
      <c r="A9" s="22" t="s">
        <v>448</v>
      </c>
      <c r="B9" s="22" t="s">
        <v>449</v>
      </c>
      <c r="C9" s="22" t="s">
        <v>37</v>
      </c>
      <c r="D9" s="22" t="str">
        <f aca="false">IFERROR(IF('IP Input Sheet'!D13&lt;&gt;"",'IP Input Sheet'!D13,IF('IP Input Sheet'!E13&lt;&gt;"",'IP Input Sheet'!E13,'IP Input Sheet'!F13)),"[Enter IP]")</f>
        <v>10.3.118.18</v>
      </c>
      <c r="E9" s="22" t="s">
        <v>445</v>
      </c>
      <c r="F9" s="22" t="str">
        <f aca="false">IFERROR(IF('IP Input Sheet'!D8&lt;&gt;"",'IP Input Sheet'!D8,IF('IP Input Sheet'!E8&lt;&gt;"",'IP Input Sheet'!E8,'IP Input Sheet'!F8)),"[Enter IP]")</f>
        <v>10.5.25.64/26</v>
      </c>
      <c r="G9" s="22" t="s">
        <v>450</v>
      </c>
      <c r="H9" s="22" t="s">
        <v>191</v>
      </c>
      <c r="I9" s="22" t="s">
        <v>451</v>
      </c>
      <c r="J9" s="20" t="s">
        <v>193</v>
      </c>
      <c r="K9" s="21" t="s">
        <v>194</v>
      </c>
      <c r="L9" s="22" t="s">
        <v>195</v>
      </c>
      <c r="M9" s="22"/>
    </row>
    <row r="10" customFormat="false" ht="18" hidden="false" customHeight="true" outlineLevel="0" collapsed="false">
      <c r="A10" s="19" t="s">
        <v>452</v>
      </c>
      <c r="B10" s="19" t="s">
        <v>453</v>
      </c>
      <c r="C10" s="19" t="s">
        <v>37</v>
      </c>
      <c r="D10" s="19" t="str">
        <f aca="false">IFERROR(IF('IP Input Sheet'!D13&lt;&gt;"",'IP Input Sheet'!D13,IF('IP Input Sheet'!E13&lt;&gt;"",'IP Input Sheet'!E13,'IP Input Sheet'!F13)),"[Enter IP]")</f>
        <v>10.3.118.18</v>
      </c>
      <c r="E10" s="19" t="s">
        <v>454</v>
      </c>
      <c r="F10" s="19" t="str">
        <f aca="false">IFERROR(IF('IP Input Sheet'!D9&lt;&gt;"",'IP Input Sheet'!D9,IF('IP Input Sheet'!E9&lt;&gt;"",'IP Input Sheet'!E9,'IP Input Sheet'!F9)),"[Enter IP]")</f>
        <v>10.5.25.64/26</v>
      </c>
      <c r="G10" s="19" t="s">
        <v>317</v>
      </c>
      <c r="H10" s="19" t="s">
        <v>217</v>
      </c>
      <c r="I10" s="19" t="s">
        <v>455</v>
      </c>
      <c r="J10" s="20" t="s">
        <v>193</v>
      </c>
      <c r="K10" s="21" t="s">
        <v>194</v>
      </c>
      <c r="L10" s="19" t="s">
        <v>195</v>
      </c>
      <c r="M10" s="19" t="s">
        <v>456</v>
      </c>
    </row>
    <row r="11" customFormat="false" ht="18" hidden="false" customHeight="true" outlineLevel="0" collapsed="false">
      <c r="A11" s="22" t="s">
        <v>457</v>
      </c>
      <c r="B11" s="22" t="s">
        <v>458</v>
      </c>
      <c r="C11" s="22" t="s">
        <v>206</v>
      </c>
      <c r="D11" s="22" t="str">
        <f aca="false">IFERROR(IF('IP Input Sheet'!D14&lt;&gt;"",'IP Input Sheet'!D14,IF('IP Input Sheet'!E14&lt;&gt;"",'IP Input Sheet'!E14,'IP Input Sheet'!F14)),"[Enter IP]")</f>
        <v>10.3.118.0/24</v>
      </c>
      <c r="E11" s="22" t="s">
        <v>15</v>
      </c>
      <c r="F11" s="22" t="str">
        <f aca="false">IFERROR(IF('IP Input Sheet'!D6&lt;&gt;"",'IP Input Sheet'!D6,IF('IP Input Sheet'!E6&lt;&gt;"",'IP Input Sheet'!E6,'IP Input Sheet'!F6)),"[Enter IP]")</f>
        <v>10.5.25.64/26</v>
      </c>
      <c r="G11" s="22" t="s">
        <v>190</v>
      </c>
      <c r="H11" s="22" t="s">
        <v>191</v>
      </c>
      <c r="I11" s="22" t="s">
        <v>459</v>
      </c>
      <c r="J11" s="20" t="s">
        <v>193</v>
      </c>
      <c r="K11" s="21" t="s">
        <v>194</v>
      </c>
      <c r="L11" s="22" t="s">
        <v>195</v>
      </c>
      <c r="M11" s="22"/>
    </row>
    <row r="12" customFormat="false" ht="18" hidden="false" customHeight="true" outlineLevel="0" collapsed="false">
      <c r="A12" s="19" t="s">
        <v>460</v>
      </c>
      <c r="B12" s="19" t="s">
        <v>461</v>
      </c>
      <c r="C12" s="19" t="s">
        <v>206</v>
      </c>
      <c r="D12" s="19" t="str">
        <f aca="false">IFERROR(IF('IP Input Sheet'!D14&lt;&gt;"",'IP Input Sheet'!D14,IF('IP Input Sheet'!E14&lt;&gt;"",'IP Input Sheet'!E14,'IP Input Sheet'!F14)),"[Enter IP]")</f>
        <v>10.3.118.0/24</v>
      </c>
      <c r="E12" s="19" t="s">
        <v>445</v>
      </c>
      <c r="F12" s="19" t="str">
        <f aca="false">IFERROR(IF('IP Input Sheet'!D8&lt;&gt;"",'IP Input Sheet'!D8,IF('IP Input Sheet'!E8&lt;&gt;"",'IP Input Sheet'!E8,'IP Input Sheet'!F8)),"[Enter IP]")</f>
        <v>10.5.25.64/26</v>
      </c>
      <c r="G12" s="19" t="s">
        <v>446</v>
      </c>
      <c r="H12" s="19" t="s">
        <v>211</v>
      </c>
      <c r="I12" s="19" t="s">
        <v>462</v>
      </c>
      <c r="J12" s="20" t="s">
        <v>193</v>
      </c>
      <c r="K12" s="21" t="s">
        <v>194</v>
      </c>
      <c r="L12" s="19" t="s">
        <v>195</v>
      </c>
      <c r="M12" s="19"/>
    </row>
    <row r="13" customFormat="false" ht="18" hidden="false" customHeight="true" outlineLevel="0" collapsed="false">
      <c r="A13" s="22" t="s">
        <v>463</v>
      </c>
      <c r="B13" s="22" t="s">
        <v>464</v>
      </c>
      <c r="C13" s="22" t="s">
        <v>206</v>
      </c>
      <c r="D13" s="22" t="str">
        <f aca="false">IFERROR(IF('IP Input Sheet'!D14&lt;&gt;"",'IP Input Sheet'!D14,IF('IP Input Sheet'!E14&lt;&gt;"",'IP Input Sheet'!E14,'IP Input Sheet'!F14)),"[Enter IP]")</f>
        <v>10.3.118.0/24</v>
      </c>
      <c r="E13" s="22" t="s">
        <v>445</v>
      </c>
      <c r="F13" s="22" t="str">
        <f aca="false">IFERROR(IF('IP Input Sheet'!D8&lt;&gt;"",'IP Input Sheet'!D8,IF('IP Input Sheet'!E8&lt;&gt;"",'IP Input Sheet'!E8,'IP Input Sheet'!F8)),"[Enter IP]")</f>
        <v>10.5.25.64/26</v>
      </c>
      <c r="G13" s="22" t="s">
        <v>465</v>
      </c>
      <c r="H13" s="22" t="s">
        <v>191</v>
      </c>
      <c r="I13" s="22" t="s">
        <v>451</v>
      </c>
      <c r="J13" s="20" t="s">
        <v>193</v>
      </c>
      <c r="K13" s="21" t="s">
        <v>194</v>
      </c>
      <c r="L13" s="22" t="s">
        <v>195</v>
      </c>
      <c r="M13" s="22"/>
    </row>
    <row r="14" customFormat="false" ht="18" hidden="false" customHeight="true" outlineLevel="0" collapsed="false">
      <c r="A14" s="19" t="s">
        <v>466</v>
      </c>
      <c r="B14" s="19" t="s">
        <v>467</v>
      </c>
      <c r="C14" s="19" t="s">
        <v>48</v>
      </c>
      <c r="D14" s="19" t="str">
        <f aca="false">IFERROR(IF('IP Input Sheet'!D16&lt;&gt;"",'IP Input Sheet'!D16,IF('IP Input Sheet'!E16&lt;&gt;"",'IP Input Sheet'!E16,'IP Input Sheet'!F16)),"[Enter IP]")</f>
        <v>10.3.118.30</v>
      </c>
      <c r="E14" s="19" t="s">
        <v>430</v>
      </c>
      <c r="F14" s="19" t="str">
        <f aca="false">IFERROR(IF('IP Input Sheet'!D5&lt;&gt;"",'IP Input Sheet'!D5,IF('IP Input Sheet'!E5&lt;&gt;"",'IP Input Sheet'!E5,'IP Input Sheet'!F5)),"[Enter IP]")</f>
        <v>10.3.118.28</v>
      </c>
      <c r="G14" s="19" t="s">
        <v>190</v>
      </c>
      <c r="H14" s="19" t="s">
        <v>191</v>
      </c>
      <c r="I14" s="19" t="s">
        <v>468</v>
      </c>
      <c r="J14" s="20" t="s">
        <v>193</v>
      </c>
      <c r="K14" s="21" t="s">
        <v>194</v>
      </c>
      <c r="L14" s="19" t="s">
        <v>195</v>
      </c>
      <c r="M14" s="19"/>
    </row>
    <row r="15" customFormat="false" ht="18" hidden="false" customHeight="true" outlineLevel="0" collapsed="false">
      <c r="A15" s="22" t="s">
        <v>469</v>
      </c>
      <c r="B15" s="22" t="s">
        <v>470</v>
      </c>
      <c r="C15" s="22" t="s">
        <v>48</v>
      </c>
      <c r="D15" s="22" t="str">
        <f aca="false">IFERROR(IF('IP Input Sheet'!D16&lt;&gt;"",'IP Input Sheet'!D16,IF('IP Input Sheet'!E16&lt;&gt;"",'IP Input Sheet'!E16,'IP Input Sheet'!F16)),"[Enter IP]")</f>
        <v>10.3.118.30</v>
      </c>
      <c r="E15" s="22" t="s">
        <v>430</v>
      </c>
      <c r="F15" s="22" t="str">
        <f aca="false">IFERROR(IF('IP Input Sheet'!D5&lt;&gt;"",'IP Input Sheet'!D5,IF('IP Input Sheet'!E5&lt;&gt;"",'IP Input Sheet'!E5,'IP Input Sheet'!F5)),"[Enter IP]")</f>
        <v>10.3.118.28</v>
      </c>
      <c r="G15" s="22" t="s">
        <v>226</v>
      </c>
      <c r="H15" s="22" t="s">
        <v>191</v>
      </c>
      <c r="I15" s="22" t="s">
        <v>471</v>
      </c>
      <c r="J15" s="20" t="s">
        <v>193</v>
      </c>
      <c r="K15" s="21" t="s">
        <v>194</v>
      </c>
      <c r="L15" s="22" t="s">
        <v>195</v>
      </c>
      <c r="M15" s="22" t="s">
        <v>228</v>
      </c>
    </row>
    <row r="16" customFormat="false" ht="18" hidden="false" customHeight="true" outlineLevel="0" collapsed="false">
      <c r="A16" s="19" t="s">
        <v>472</v>
      </c>
      <c r="B16" s="19" t="s">
        <v>473</v>
      </c>
      <c r="C16" s="19" t="s">
        <v>48</v>
      </c>
      <c r="D16" s="19" t="str">
        <f aca="false">IFERROR(IF('IP Input Sheet'!D16&lt;&gt;"",'IP Input Sheet'!D16,IF('IP Input Sheet'!E16&lt;&gt;"",'IP Input Sheet'!E16,'IP Input Sheet'!F16)),"[Enter IP]")</f>
        <v>10.3.118.30</v>
      </c>
      <c r="E16" s="19" t="s">
        <v>19</v>
      </c>
      <c r="F16" s="19" t="str">
        <f aca="false">IFERROR(IF('IP Input Sheet'!D7&lt;&gt;"",'IP Input Sheet'!D7,IF('IP Input Sheet'!E7&lt;&gt;"",'IP Input Sheet'!E7,'IP Input Sheet'!F7)),"[Enter IP]")</f>
        <v>10.5.25.64/26</v>
      </c>
      <c r="G16" s="19" t="s">
        <v>190</v>
      </c>
      <c r="H16" s="19" t="s">
        <v>191</v>
      </c>
      <c r="I16" s="19" t="s">
        <v>474</v>
      </c>
      <c r="J16" s="20" t="s">
        <v>193</v>
      </c>
      <c r="K16" s="21" t="s">
        <v>194</v>
      </c>
      <c r="L16" s="19" t="s">
        <v>195</v>
      </c>
      <c r="M16" s="19"/>
    </row>
    <row r="17" customFormat="false" ht="18" hidden="false" customHeight="true" outlineLevel="0" collapsed="false">
      <c r="A17" s="22" t="s">
        <v>475</v>
      </c>
      <c r="B17" s="22" t="s">
        <v>476</v>
      </c>
      <c r="C17" s="22" t="s">
        <v>48</v>
      </c>
      <c r="D17" s="22" t="str">
        <f aca="false">IFERROR(IF('IP Input Sheet'!D16&lt;&gt;"",'IP Input Sheet'!D16,IF('IP Input Sheet'!E16&lt;&gt;"",'IP Input Sheet'!E16,'IP Input Sheet'!F16)),"[Enter IP]")</f>
        <v>10.3.118.30</v>
      </c>
      <c r="E17" s="22" t="s">
        <v>19</v>
      </c>
      <c r="F17" s="22" t="str">
        <f aca="false">IFERROR(IF('IP Input Sheet'!D7&lt;&gt;"",'IP Input Sheet'!D7,IF('IP Input Sheet'!E7&lt;&gt;"",'IP Input Sheet'!E7,'IP Input Sheet'!F7)),"[Enter IP]")</f>
        <v>10.5.25.64/26</v>
      </c>
      <c r="G17" s="22" t="s">
        <v>226</v>
      </c>
      <c r="H17" s="22" t="s">
        <v>191</v>
      </c>
      <c r="I17" s="22" t="s">
        <v>477</v>
      </c>
      <c r="J17" s="20" t="s">
        <v>193</v>
      </c>
      <c r="K17" s="21" t="s">
        <v>194</v>
      </c>
      <c r="L17" s="22" t="s">
        <v>195</v>
      </c>
      <c r="M17" s="22" t="s">
        <v>228</v>
      </c>
    </row>
    <row r="18" customFormat="false" ht="18" hidden="false" customHeight="true" outlineLevel="0" collapsed="false">
      <c r="A18" s="19" t="s">
        <v>478</v>
      </c>
      <c r="B18" s="19" t="s">
        <v>479</v>
      </c>
      <c r="C18" s="19" t="s">
        <v>48</v>
      </c>
      <c r="D18" s="19" t="str">
        <f aca="false">IFERROR(IF('IP Input Sheet'!D16&lt;&gt;"",'IP Input Sheet'!D16,IF('IP Input Sheet'!E16&lt;&gt;"",'IP Input Sheet'!E16,'IP Input Sheet'!F16)),"[Enter IP]")</f>
        <v>10.3.118.30</v>
      </c>
      <c r="E18" s="19" t="s">
        <v>15</v>
      </c>
      <c r="F18" s="19" t="str">
        <f aca="false">IFERROR(IF('IP Input Sheet'!D6&lt;&gt;"",'IP Input Sheet'!D6,IF('IP Input Sheet'!E6&lt;&gt;"",'IP Input Sheet'!E6,'IP Input Sheet'!F6)),"[Enter IP]")</f>
        <v>10.5.25.64/26</v>
      </c>
      <c r="G18" s="19" t="s">
        <v>190</v>
      </c>
      <c r="H18" s="19" t="s">
        <v>191</v>
      </c>
      <c r="I18" s="19" t="s">
        <v>480</v>
      </c>
      <c r="J18" s="20" t="s">
        <v>193</v>
      </c>
      <c r="K18" s="21" t="s">
        <v>194</v>
      </c>
      <c r="L18" s="19" t="s">
        <v>195</v>
      </c>
      <c r="M18" s="19"/>
    </row>
    <row r="19" customFormat="false" ht="18" hidden="false" customHeight="true" outlineLevel="0" collapsed="false">
      <c r="A19" s="22" t="s">
        <v>481</v>
      </c>
      <c r="B19" s="22" t="s">
        <v>482</v>
      </c>
      <c r="C19" s="22" t="s">
        <v>48</v>
      </c>
      <c r="D19" s="22" t="str">
        <f aca="false">IFERROR(IF('IP Input Sheet'!D16&lt;&gt;"",'IP Input Sheet'!D16,IF('IP Input Sheet'!E16&lt;&gt;"",'IP Input Sheet'!E16,'IP Input Sheet'!F16)),"[Enter IP]")</f>
        <v>10.3.118.30</v>
      </c>
      <c r="E19" s="22" t="s">
        <v>15</v>
      </c>
      <c r="F19" s="22" t="str">
        <f aca="false">IFERROR(IF('IP Input Sheet'!D6&lt;&gt;"",'IP Input Sheet'!D6,IF('IP Input Sheet'!E6&lt;&gt;"",'IP Input Sheet'!E6,'IP Input Sheet'!F6)),"[Enter IP]")</f>
        <v>10.5.25.64/26</v>
      </c>
      <c r="G19" s="22" t="s">
        <v>226</v>
      </c>
      <c r="H19" s="22" t="s">
        <v>191</v>
      </c>
      <c r="I19" s="22" t="s">
        <v>483</v>
      </c>
      <c r="J19" s="20" t="s">
        <v>193</v>
      </c>
      <c r="K19" s="21" t="s">
        <v>194</v>
      </c>
      <c r="L19" s="22" t="s">
        <v>195</v>
      </c>
      <c r="M19" s="22" t="s">
        <v>228</v>
      </c>
    </row>
    <row r="20" customFormat="false" ht="18" hidden="false" customHeight="true" outlineLevel="0" collapsed="false">
      <c r="A20" s="19" t="s">
        <v>484</v>
      </c>
      <c r="B20" s="19" t="s">
        <v>485</v>
      </c>
      <c r="C20" s="19" t="s">
        <v>48</v>
      </c>
      <c r="D20" s="19" t="str">
        <f aca="false">IFERROR(IF('IP Input Sheet'!D16&lt;&gt;"",'IP Input Sheet'!D16,IF('IP Input Sheet'!E16&lt;&gt;"",'IP Input Sheet'!E16,'IP Input Sheet'!F16)),"[Enter IP]")</f>
        <v>10.3.118.30</v>
      </c>
      <c r="E20" s="19" t="s">
        <v>445</v>
      </c>
      <c r="F20" s="19" t="str">
        <f aca="false">IFERROR(IF('IP Input Sheet'!D8&lt;&gt;"",'IP Input Sheet'!D8,IF('IP Input Sheet'!E8&lt;&gt;"",'IP Input Sheet'!E8,'IP Input Sheet'!F8)),"[Enter IP]")</f>
        <v>10.5.25.64/26</v>
      </c>
      <c r="G20" s="19" t="s">
        <v>446</v>
      </c>
      <c r="H20" s="19" t="s">
        <v>191</v>
      </c>
      <c r="I20" s="19" t="s">
        <v>486</v>
      </c>
      <c r="J20" s="20" t="s">
        <v>193</v>
      </c>
      <c r="K20" s="21" t="s">
        <v>194</v>
      </c>
      <c r="L20" s="19" t="s">
        <v>195</v>
      </c>
      <c r="M20" s="19"/>
    </row>
    <row r="21" customFormat="false" ht="18" hidden="false" customHeight="true" outlineLevel="0" collapsed="false">
      <c r="A21" s="22" t="s">
        <v>487</v>
      </c>
      <c r="B21" s="22" t="s">
        <v>488</v>
      </c>
      <c r="C21" s="22" t="s">
        <v>48</v>
      </c>
      <c r="D21" s="22" t="str">
        <f aca="false">IFERROR(IF('IP Input Sheet'!D16&lt;&gt;"",'IP Input Sheet'!D16,IF('IP Input Sheet'!E16&lt;&gt;"",'IP Input Sheet'!E16,'IP Input Sheet'!F16)),"[Enter IP]")</f>
        <v>10.3.118.30</v>
      </c>
      <c r="E21" s="22" t="s">
        <v>445</v>
      </c>
      <c r="F21" s="22" t="str">
        <f aca="false">IFERROR(IF('IP Input Sheet'!D8&lt;&gt;"",'IP Input Sheet'!D8,IF('IP Input Sheet'!E8&lt;&gt;"",'IP Input Sheet'!E8,'IP Input Sheet'!F8)),"[Enter IP]")</f>
        <v>10.5.25.64/26</v>
      </c>
      <c r="G21" s="22" t="s">
        <v>489</v>
      </c>
      <c r="H21" s="22" t="s">
        <v>191</v>
      </c>
      <c r="I21" s="22" t="s">
        <v>490</v>
      </c>
      <c r="J21" s="20" t="s">
        <v>193</v>
      </c>
      <c r="K21" s="21" t="s">
        <v>194</v>
      </c>
      <c r="L21" s="22" t="s">
        <v>195</v>
      </c>
      <c r="M21" s="22"/>
    </row>
    <row r="22" customFormat="false" ht="18" hidden="false" customHeight="true" outlineLevel="0" collapsed="false">
      <c r="A22" s="19" t="s">
        <v>491</v>
      </c>
      <c r="B22" s="19" t="s">
        <v>492</v>
      </c>
      <c r="C22" s="19" t="s">
        <v>48</v>
      </c>
      <c r="D22" s="19" t="str">
        <f aca="false">IFERROR(IF('IP Input Sheet'!D16&lt;&gt;"",'IP Input Sheet'!D16,IF('IP Input Sheet'!E16&lt;&gt;"",'IP Input Sheet'!E16,'IP Input Sheet'!F16)),"[Enter IP]")</f>
        <v>10.3.118.30</v>
      </c>
      <c r="E22" s="19" t="s">
        <v>445</v>
      </c>
      <c r="F22" s="19" t="str">
        <f aca="false">IFERROR(IF('IP Input Sheet'!D8&lt;&gt;"",'IP Input Sheet'!D8,IF('IP Input Sheet'!E8&lt;&gt;"",'IP Input Sheet'!E8,'IP Input Sheet'!F8)),"[Enter IP]")</f>
        <v>10.5.25.64/26</v>
      </c>
      <c r="G22" s="19" t="s">
        <v>190</v>
      </c>
      <c r="H22" s="19" t="s">
        <v>191</v>
      </c>
      <c r="I22" s="19" t="s">
        <v>493</v>
      </c>
      <c r="J22" s="20" t="s">
        <v>193</v>
      </c>
      <c r="K22" s="21" t="s">
        <v>194</v>
      </c>
      <c r="L22" s="19" t="s">
        <v>195</v>
      </c>
      <c r="M22" s="19"/>
    </row>
    <row r="23" customFormat="false" ht="18" hidden="false" customHeight="true" outlineLevel="0" collapsed="false">
      <c r="A23" s="22" t="s">
        <v>494</v>
      </c>
      <c r="B23" s="22" t="s">
        <v>495</v>
      </c>
      <c r="C23" s="22" t="s">
        <v>48</v>
      </c>
      <c r="D23" s="22" t="str">
        <f aca="false">IFERROR(IF('IP Input Sheet'!D16&lt;&gt;"",'IP Input Sheet'!D16,IF('IP Input Sheet'!E16&lt;&gt;"",'IP Input Sheet'!E16,'IP Input Sheet'!F16)),"[Enter IP]")</f>
        <v>10.3.118.30</v>
      </c>
      <c r="E23" s="22" t="s">
        <v>445</v>
      </c>
      <c r="F23" s="22" t="str">
        <f aca="false">IFERROR(IF('IP Input Sheet'!D8&lt;&gt;"",'IP Input Sheet'!D8,IF('IP Input Sheet'!E8&lt;&gt;"",'IP Input Sheet'!E8,'IP Input Sheet'!F8)),"[Enter IP]")</f>
        <v>10.5.25.64/26</v>
      </c>
      <c r="G23" s="22" t="s">
        <v>496</v>
      </c>
      <c r="H23" s="22" t="s">
        <v>191</v>
      </c>
      <c r="I23" s="22" t="s">
        <v>497</v>
      </c>
      <c r="J23" s="20" t="s">
        <v>193</v>
      </c>
      <c r="K23" s="21" t="s">
        <v>194</v>
      </c>
      <c r="L23" s="22" t="s">
        <v>195</v>
      </c>
      <c r="M23" s="22"/>
    </row>
    <row r="24" customFormat="false" ht="18" hidden="false" customHeight="true" outlineLevel="0" collapsed="false">
      <c r="A24" s="19" t="s">
        <v>498</v>
      </c>
      <c r="B24" s="19" t="s">
        <v>499</v>
      </c>
      <c r="C24" s="19" t="s">
        <v>48</v>
      </c>
      <c r="D24" s="19" t="str">
        <f aca="false">IFERROR(IF('IP Input Sheet'!D16&lt;&gt;"",'IP Input Sheet'!D16,IF('IP Input Sheet'!E16&lt;&gt;"",'IP Input Sheet'!E16,'IP Input Sheet'!F16)),"[Enter IP]")</f>
        <v>10.3.118.30</v>
      </c>
      <c r="E24" s="19" t="s">
        <v>28</v>
      </c>
      <c r="F24" s="19" t="str">
        <f aca="false">IFERROR(IF('IP Input Sheet'!D10&lt;&gt;"",'IP Input Sheet'!D10,IF('IP Input Sheet'!E10&lt;&gt;"",'IP Input Sheet'!E10,'IP Input Sheet'!F10)),"[Enter IP]")</f>
        <v>10.3.118.0/24</v>
      </c>
      <c r="G24" s="19" t="s">
        <v>190</v>
      </c>
      <c r="H24" s="19" t="s">
        <v>191</v>
      </c>
      <c r="I24" s="19" t="s">
        <v>500</v>
      </c>
      <c r="J24" s="20" t="s">
        <v>193</v>
      </c>
      <c r="K24" s="21" t="s">
        <v>194</v>
      </c>
      <c r="L24" s="19" t="s">
        <v>195</v>
      </c>
      <c r="M24" s="19" t="s">
        <v>501</v>
      </c>
    </row>
    <row r="25" customFormat="false" ht="18" hidden="false" customHeight="true" outlineLevel="0" collapsed="false">
      <c r="A25" s="22" t="s">
        <v>502</v>
      </c>
      <c r="B25" s="22" t="s">
        <v>503</v>
      </c>
      <c r="C25" s="22" t="s">
        <v>48</v>
      </c>
      <c r="D25" s="22" t="str">
        <f aca="false">IFERROR(IF('IP Input Sheet'!D16&lt;&gt;"",'IP Input Sheet'!D16,IF('IP Input Sheet'!E16&lt;&gt;"",'IP Input Sheet'!E16,'IP Input Sheet'!F16)),"[Enter IP]")</f>
        <v>10.3.118.30</v>
      </c>
      <c r="E25" s="22" t="s">
        <v>28</v>
      </c>
      <c r="F25" s="22" t="str">
        <f aca="false">IFERROR(IF('IP Input Sheet'!D10&lt;&gt;"",'IP Input Sheet'!D10,IF('IP Input Sheet'!E10&lt;&gt;"",'IP Input Sheet'!E10,'IP Input Sheet'!F10)),"[Enter IP]")</f>
        <v>10.3.118.0/24</v>
      </c>
      <c r="G25" s="22" t="s">
        <v>226</v>
      </c>
      <c r="H25" s="22" t="s">
        <v>191</v>
      </c>
      <c r="I25" s="22" t="s">
        <v>504</v>
      </c>
      <c r="J25" s="20" t="s">
        <v>193</v>
      </c>
      <c r="K25" s="21" t="s">
        <v>194</v>
      </c>
      <c r="L25" s="22" t="s">
        <v>195</v>
      </c>
      <c r="M25" s="22" t="s">
        <v>505</v>
      </c>
    </row>
    <row r="26" customFormat="false" ht="18" hidden="false" customHeight="true" outlineLevel="0" collapsed="false">
      <c r="A26" s="19" t="s">
        <v>506</v>
      </c>
      <c r="B26" s="19" t="s">
        <v>507</v>
      </c>
      <c r="C26" s="19" t="s">
        <v>221</v>
      </c>
      <c r="D26" s="19" t="str">
        <f aca="false">IFERROR(IF('IP Input Sheet'!D36&lt;&gt;"",'IP Input Sheet'!D36,IF('IP Input Sheet'!E36&lt;&gt;"",'IP Input Sheet'!E36,'IP Input Sheet'!F36)),"[Enter IP]")</f>
        <v>10.3.118.0/24</v>
      </c>
      <c r="E26" s="19" t="s">
        <v>445</v>
      </c>
      <c r="F26" s="19" t="str">
        <f aca="false">IFERROR(IF('IP Input Sheet'!D8&lt;&gt;"",'IP Input Sheet'!D8,IF('IP Input Sheet'!E8&lt;&gt;"",'IP Input Sheet'!E8,'IP Input Sheet'!F8)),"[Enter IP]")</f>
        <v>10.5.25.64/26</v>
      </c>
      <c r="G26" s="19" t="s">
        <v>446</v>
      </c>
      <c r="H26" s="19" t="s">
        <v>211</v>
      </c>
      <c r="I26" s="19" t="s">
        <v>508</v>
      </c>
      <c r="J26" s="20" t="s">
        <v>193</v>
      </c>
      <c r="K26" s="21" t="s">
        <v>194</v>
      </c>
      <c r="L26" s="19" t="s">
        <v>195</v>
      </c>
      <c r="M26" s="19" t="s">
        <v>509</v>
      </c>
    </row>
    <row r="27" customFormat="false" ht="18" hidden="false" customHeight="true" outlineLevel="0" collapsed="false">
      <c r="A27" s="22" t="s">
        <v>510</v>
      </c>
      <c r="B27" s="22" t="s">
        <v>511</v>
      </c>
      <c r="C27" s="22" t="s">
        <v>221</v>
      </c>
      <c r="D27" s="22" t="str">
        <f aca="false">IFERROR(IF('IP Input Sheet'!D36&lt;&gt;"",'IP Input Sheet'!D36,IF('IP Input Sheet'!E36&lt;&gt;"",'IP Input Sheet'!E36,'IP Input Sheet'!F36)),"[Enter IP]")</f>
        <v>10.3.118.0/24</v>
      </c>
      <c r="E27" s="22" t="s">
        <v>445</v>
      </c>
      <c r="F27" s="22" t="str">
        <f aca="false">IFERROR(IF('IP Input Sheet'!D8&lt;&gt;"",'IP Input Sheet'!D8,IF('IP Input Sheet'!E8&lt;&gt;"",'IP Input Sheet'!E8,'IP Input Sheet'!F8)),"[Enter IP]")</f>
        <v>10.5.25.64/26</v>
      </c>
      <c r="G27" s="22" t="s">
        <v>450</v>
      </c>
      <c r="H27" s="22" t="s">
        <v>191</v>
      </c>
      <c r="I27" s="22" t="s">
        <v>512</v>
      </c>
      <c r="J27" s="20" t="s">
        <v>193</v>
      </c>
      <c r="K27" s="21" t="s">
        <v>194</v>
      </c>
      <c r="L27" s="22" t="s">
        <v>195</v>
      </c>
      <c r="M27" s="22"/>
    </row>
    <row r="28" customFormat="false" ht="18" hidden="false" customHeight="true" outlineLevel="0" collapsed="false">
      <c r="A28" s="19" t="s">
        <v>513</v>
      </c>
      <c r="B28" s="19" t="s">
        <v>514</v>
      </c>
      <c r="C28" s="19" t="s">
        <v>221</v>
      </c>
      <c r="D28" s="19" t="str">
        <f aca="false">IFERROR(IF('IP Input Sheet'!D36&lt;&gt;"",'IP Input Sheet'!D36,IF('IP Input Sheet'!E36&lt;&gt;"",'IP Input Sheet'!E36,'IP Input Sheet'!F36)),"[Enter IP]")</f>
        <v>10.3.118.0/24</v>
      </c>
      <c r="E28" s="19" t="s">
        <v>454</v>
      </c>
      <c r="F28" s="19" t="str">
        <f aca="false">IFERROR(IF('IP Input Sheet'!D9&lt;&gt;"",'IP Input Sheet'!D9,IF('IP Input Sheet'!E9&lt;&gt;"",'IP Input Sheet'!E9,'IP Input Sheet'!F9)),"[Enter IP]")</f>
        <v>10.5.25.64/26</v>
      </c>
      <c r="G28" s="19" t="s">
        <v>322</v>
      </c>
      <c r="H28" s="19" t="s">
        <v>211</v>
      </c>
      <c r="I28" s="19" t="s">
        <v>515</v>
      </c>
      <c r="J28" s="20" t="s">
        <v>193</v>
      </c>
      <c r="K28" s="21" t="s">
        <v>194</v>
      </c>
      <c r="L28" s="19" t="s">
        <v>195</v>
      </c>
      <c r="M28" s="19"/>
    </row>
    <row r="29" customFormat="false" ht="18" hidden="false" customHeight="true" outlineLevel="0" collapsed="false">
      <c r="A29" s="22" t="s">
        <v>516</v>
      </c>
      <c r="B29" s="22" t="s">
        <v>517</v>
      </c>
      <c r="C29" s="22" t="s">
        <v>518</v>
      </c>
      <c r="D29" s="22" t="str">
        <f aca="false">IFERROR(IF('IP Input Sheet'!D18&lt;&gt;"",'IP Input Sheet'!D18,IF('IP Input Sheet'!E18&lt;&gt;"",'IP Input Sheet'!E18,'IP Input Sheet'!F18)),"[Enter IP]")</f>
        <v>10.3.118.0/24</v>
      </c>
      <c r="E29" s="22" t="s">
        <v>445</v>
      </c>
      <c r="F29" s="22" t="str">
        <f aca="false">IFERROR(IF('IP Input Sheet'!D8&lt;&gt;"",'IP Input Sheet'!D8,IF('IP Input Sheet'!E8&lt;&gt;"",'IP Input Sheet'!E8,'IP Input Sheet'!F8)),"[Enter IP]")</f>
        <v>10.5.25.64/26</v>
      </c>
      <c r="G29" s="22" t="s">
        <v>446</v>
      </c>
      <c r="H29" s="22" t="s">
        <v>211</v>
      </c>
      <c r="I29" s="22" t="s">
        <v>519</v>
      </c>
      <c r="J29" s="20" t="s">
        <v>193</v>
      </c>
      <c r="K29" s="21" t="s">
        <v>194</v>
      </c>
      <c r="L29" s="22" t="s">
        <v>195</v>
      </c>
      <c r="M29" s="22"/>
    </row>
    <row r="30" customFormat="false" ht="18" hidden="false" customHeight="true" outlineLevel="0" collapsed="false">
      <c r="A30" s="19" t="s">
        <v>520</v>
      </c>
      <c r="B30" s="19" t="s">
        <v>521</v>
      </c>
      <c r="C30" s="19" t="s">
        <v>518</v>
      </c>
      <c r="D30" s="19" t="str">
        <f aca="false">IFERROR(IF('IP Input Sheet'!D18&lt;&gt;"",'IP Input Sheet'!D18,IF('IP Input Sheet'!E18&lt;&gt;"",'IP Input Sheet'!E18,'IP Input Sheet'!F18)),"[Enter IP]")</f>
        <v>10.3.118.0/24</v>
      </c>
      <c r="E30" s="19" t="s">
        <v>445</v>
      </c>
      <c r="F30" s="19" t="str">
        <f aca="false">IFERROR(IF('IP Input Sheet'!D8&lt;&gt;"",'IP Input Sheet'!D8,IF('IP Input Sheet'!E8&lt;&gt;"",'IP Input Sheet'!E8,'IP Input Sheet'!F8)),"[Enter IP]")</f>
        <v>10.5.25.64/26</v>
      </c>
      <c r="G30" s="19" t="s">
        <v>450</v>
      </c>
      <c r="H30" s="19" t="s">
        <v>191</v>
      </c>
      <c r="I30" s="19" t="s">
        <v>522</v>
      </c>
      <c r="J30" s="20" t="s">
        <v>193</v>
      </c>
      <c r="K30" s="21" t="s">
        <v>194</v>
      </c>
      <c r="L30" s="19" t="s">
        <v>195</v>
      </c>
      <c r="M30" s="19"/>
    </row>
    <row r="31" customFormat="false" ht="18" hidden="false" customHeight="true" outlineLevel="0" collapsed="false">
      <c r="A31" s="22" t="s">
        <v>523</v>
      </c>
      <c r="B31" s="22" t="s">
        <v>524</v>
      </c>
      <c r="C31" s="22" t="s">
        <v>525</v>
      </c>
      <c r="D31" s="22" t="s">
        <v>526</v>
      </c>
      <c r="E31" s="22" t="s">
        <v>527</v>
      </c>
      <c r="F31" s="22" t="s">
        <v>528</v>
      </c>
      <c r="G31" s="22" t="s">
        <v>529</v>
      </c>
      <c r="H31" s="22" t="s">
        <v>529</v>
      </c>
      <c r="I31" s="22" t="s">
        <v>530</v>
      </c>
      <c r="J31" s="20" t="s">
        <v>193</v>
      </c>
      <c r="K31" s="21" t="s">
        <v>194</v>
      </c>
      <c r="L31" s="22" t="s">
        <v>200</v>
      </c>
      <c r="M31" s="22" t="s">
        <v>531</v>
      </c>
    </row>
    <row r="32" customFormat="false" ht="18" hidden="false" customHeight="true" outlineLevel="0" collapsed="false">
      <c r="A32" s="19" t="s">
        <v>532</v>
      </c>
      <c r="B32" s="19" t="s">
        <v>533</v>
      </c>
      <c r="C32" s="19" t="s">
        <v>342</v>
      </c>
      <c r="D32" s="19" t="str">
        <f aca="false">IFERROR(IF('IP Input Sheet'!D19&lt;&gt;"",'IP Input Sheet'!D19,IF('IP Input Sheet'!E19&lt;&gt;"",'IP Input Sheet'!E19,'IP Input Sheet'!F19)),"[Enter IP]")</f>
        <v>10.3.118.101</v>
      </c>
      <c r="E32" s="19" t="s">
        <v>316</v>
      </c>
      <c r="F32" s="19" t="str">
        <f aca="false">IFERROR(IF('IP Input Sheet'!D9&lt;&gt;"",'IP Input Sheet'!D9,IF('IP Input Sheet'!E9&lt;&gt;"",'IP Input Sheet'!E9,'IP Input Sheet'!F9)),"[Enter IP]")</f>
        <v>10.5.25.64/26</v>
      </c>
      <c r="G32" s="19" t="s">
        <v>190</v>
      </c>
      <c r="H32" s="19" t="s">
        <v>191</v>
      </c>
      <c r="I32" s="19" t="s">
        <v>534</v>
      </c>
      <c r="J32" s="20" t="s">
        <v>193</v>
      </c>
      <c r="K32" s="21" t="s">
        <v>194</v>
      </c>
      <c r="L32" s="19" t="s">
        <v>195</v>
      </c>
      <c r="M32" s="19" t="s">
        <v>344</v>
      </c>
    </row>
    <row r="33" customFormat="false" ht="18" hidden="false" customHeight="true" outlineLevel="0" collapsed="false">
      <c r="A33" s="22" t="s">
        <v>535</v>
      </c>
      <c r="B33" s="22" t="s">
        <v>536</v>
      </c>
      <c r="C33" s="22" t="s">
        <v>342</v>
      </c>
      <c r="D33" s="22" t="str">
        <f aca="false">IFERROR(IF('IP Input Sheet'!D19&lt;&gt;"",'IP Input Sheet'!D19,IF('IP Input Sheet'!E19&lt;&gt;"",'IP Input Sheet'!E19,'IP Input Sheet'!F19)),"[Enter IP]")</f>
        <v>10.3.118.101</v>
      </c>
      <c r="E33" s="22" t="s">
        <v>206</v>
      </c>
      <c r="F33" s="22" t="str">
        <f aca="false">IFERROR(IF('IP Input Sheet'!D14&lt;&gt;"",'IP Input Sheet'!D14,IF('IP Input Sheet'!E14&lt;&gt;"",'IP Input Sheet'!E14,'IP Input Sheet'!F14)),"[Enter IP]")</f>
        <v>10.3.118.0/24</v>
      </c>
      <c r="G33" s="22" t="s">
        <v>190</v>
      </c>
      <c r="H33" s="22" t="s">
        <v>191</v>
      </c>
      <c r="I33" s="22" t="s">
        <v>537</v>
      </c>
      <c r="J33" s="20" t="s">
        <v>193</v>
      </c>
      <c r="K33" s="21" t="s">
        <v>194</v>
      </c>
      <c r="L33" s="22" t="s">
        <v>195</v>
      </c>
      <c r="M33" s="22" t="s">
        <v>352</v>
      </c>
    </row>
    <row r="34" customFormat="false" ht="18" hidden="false" customHeight="true" outlineLevel="0" collapsed="false">
      <c r="A34" s="19" t="s">
        <v>538</v>
      </c>
      <c r="B34" s="19" t="s">
        <v>539</v>
      </c>
      <c r="C34" s="19" t="s">
        <v>342</v>
      </c>
      <c r="D34" s="19" t="str">
        <f aca="false">IFERROR(IF('IP Input Sheet'!D19&lt;&gt;"",'IP Input Sheet'!D19,IF('IP Input Sheet'!E19&lt;&gt;"",'IP Input Sheet'!E19,'IP Input Sheet'!F19)),"[Enter IP]")</f>
        <v>10.3.118.101</v>
      </c>
      <c r="E34" s="19" t="s">
        <v>37</v>
      </c>
      <c r="F34" s="19" t="str">
        <f aca="false">IFERROR(IF('IP Input Sheet'!D13&lt;&gt;"",'IP Input Sheet'!D13,IF('IP Input Sheet'!E13&lt;&gt;"",'IP Input Sheet'!E13,'IP Input Sheet'!F13)),"[Enter IP]")</f>
        <v>10.3.118.18</v>
      </c>
      <c r="G34" s="19" t="s">
        <v>190</v>
      </c>
      <c r="H34" s="19" t="s">
        <v>191</v>
      </c>
      <c r="I34" s="19" t="s">
        <v>540</v>
      </c>
      <c r="J34" s="20" t="s">
        <v>193</v>
      </c>
      <c r="K34" s="21" t="s">
        <v>194</v>
      </c>
      <c r="L34" s="19" t="s">
        <v>195</v>
      </c>
      <c r="M34" s="19" t="s">
        <v>352</v>
      </c>
    </row>
    <row r="35" customFormat="false" ht="18" hidden="false" customHeight="true" outlineLevel="0" collapsed="false">
      <c r="A35" s="22" t="s">
        <v>541</v>
      </c>
      <c r="B35" s="22" t="s">
        <v>542</v>
      </c>
      <c r="C35" s="22" t="s">
        <v>48</v>
      </c>
      <c r="D35" s="22" t="str">
        <f aca="false">IFERROR(IF('IP Input Sheet'!D16&lt;&gt;"",'IP Input Sheet'!D16,IF('IP Input Sheet'!E16&lt;&gt;"",'IP Input Sheet'!E16,'IP Input Sheet'!F16)),"[Enter IP]")</f>
        <v>10.3.118.30</v>
      </c>
      <c r="E35" s="22" t="s">
        <v>342</v>
      </c>
      <c r="F35" s="22" t="str">
        <f aca="false">IFERROR(IF('IP Input Sheet'!D19&lt;&gt;"",'IP Input Sheet'!D19,IF('IP Input Sheet'!E19&lt;&gt;"",'IP Input Sheet'!E19,'IP Input Sheet'!F19)),"[Enter IP]")</f>
        <v>10.3.118.101</v>
      </c>
      <c r="G35" s="22" t="s">
        <v>190</v>
      </c>
      <c r="H35" s="22" t="s">
        <v>191</v>
      </c>
      <c r="I35" s="22" t="s">
        <v>543</v>
      </c>
      <c r="J35" s="20" t="s">
        <v>193</v>
      </c>
      <c r="K35" s="21" t="s">
        <v>194</v>
      </c>
      <c r="L35" s="22" t="s">
        <v>195</v>
      </c>
      <c r="M35" s="22" t="s">
        <v>352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3" min="13" style="0" width="42"/>
  </cols>
  <sheetData>
    <row r="1" customFormat="false" ht="27.75" hidden="false" customHeight="true" outlineLevel="0" collapsed="false">
      <c r="A1" s="18" t="s">
        <v>544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8" hidden="false" customHeight="true" outlineLevel="0" collapsed="false">
      <c r="A2" s="2" t="s">
        <v>545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182</v>
      </c>
      <c r="I3" s="3" t="s">
        <v>183</v>
      </c>
      <c r="J3" s="3" t="s">
        <v>184</v>
      </c>
      <c r="K3" s="3" t="s">
        <v>185</v>
      </c>
      <c r="L3" s="3" t="s">
        <v>186</v>
      </c>
      <c r="M3" s="3" t="s">
        <v>187</v>
      </c>
    </row>
    <row r="4" customFormat="false" ht="18" hidden="false" customHeight="true" outlineLevel="0" collapsed="false">
      <c r="A4" s="19" t="s">
        <v>546</v>
      </c>
      <c r="B4" s="19" t="s">
        <v>209</v>
      </c>
      <c r="C4" s="19" t="s">
        <v>10</v>
      </c>
      <c r="D4" s="19" t="str">
        <f aca="false">IFERROR(IF('IP Input Sheet'!D5&lt;&gt;"",'IP Input Sheet'!D5,IF('IP Input Sheet'!E5&lt;&gt;"",'IP Input Sheet'!E5,'IP Input Sheet'!F5)),"[Enter IP]")</f>
        <v>10.3.118.28</v>
      </c>
      <c r="E4" s="19" t="s">
        <v>153</v>
      </c>
      <c r="F4" s="19" t="n">
        <f aca="false">'IP Input Sheet'!D42</f>
        <v>0</v>
      </c>
      <c r="G4" s="19" t="s">
        <v>210</v>
      </c>
      <c r="H4" s="19" t="s">
        <v>211</v>
      </c>
      <c r="I4" s="19" t="s">
        <v>212</v>
      </c>
      <c r="J4" s="20" t="s">
        <v>193</v>
      </c>
      <c r="K4" s="21" t="s">
        <v>194</v>
      </c>
      <c r="L4" s="19" t="s">
        <v>200</v>
      </c>
      <c r="M4" s="19" t="s">
        <v>213</v>
      </c>
    </row>
    <row r="5" customFormat="false" ht="18" hidden="false" customHeight="true" outlineLevel="0" collapsed="false">
      <c r="A5" s="22" t="s">
        <v>547</v>
      </c>
      <c r="B5" s="22" t="s">
        <v>215</v>
      </c>
      <c r="C5" s="22" t="s">
        <v>10</v>
      </c>
      <c r="D5" s="22" t="str">
        <f aca="false">IFERROR(IF('IP Input Sheet'!D5&lt;&gt;"",'IP Input Sheet'!D5,IF('IP Input Sheet'!E5&lt;&gt;"",'IP Input Sheet'!E5,'IP Input Sheet'!F5)),"[Enter IP]")</f>
        <v>10.3.118.28</v>
      </c>
      <c r="E5" s="22" t="s">
        <v>157</v>
      </c>
      <c r="F5" s="22" t="n">
        <f aca="false">'IP Input Sheet'!D43</f>
        <v>0</v>
      </c>
      <c r="G5" s="22" t="s">
        <v>216</v>
      </c>
      <c r="H5" s="22" t="s">
        <v>217</v>
      </c>
      <c r="I5" s="22" t="s">
        <v>548</v>
      </c>
      <c r="J5" s="20" t="s">
        <v>193</v>
      </c>
      <c r="K5" s="21" t="s">
        <v>194</v>
      </c>
      <c r="L5" s="22" t="s">
        <v>195</v>
      </c>
      <c r="M5" s="22"/>
    </row>
    <row r="6" customFormat="false" ht="18" hidden="false" customHeight="true" outlineLevel="0" collapsed="false">
      <c r="A6" s="19" t="s">
        <v>549</v>
      </c>
      <c r="B6" s="19" t="s">
        <v>550</v>
      </c>
      <c r="C6" s="19" t="s">
        <v>15</v>
      </c>
      <c r="D6" s="19" t="str">
        <f aca="false">IFERROR(IF('IP Input Sheet'!D6&lt;&gt;"",'IP Input Sheet'!D6,IF('IP Input Sheet'!E6&lt;&gt;"",'IP Input Sheet'!E6,'IP Input Sheet'!F6)),"[Enter IP]")</f>
        <v>10.5.25.64/26</v>
      </c>
      <c r="E6" s="19" t="s">
        <v>153</v>
      </c>
      <c r="F6" s="19" t="n">
        <f aca="false">'IP Input Sheet'!D42</f>
        <v>0</v>
      </c>
      <c r="G6" s="19" t="s">
        <v>210</v>
      </c>
      <c r="H6" s="19" t="s">
        <v>211</v>
      </c>
      <c r="I6" s="19" t="s">
        <v>551</v>
      </c>
      <c r="J6" s="20" t="s">
        <v>193</v>
      </c>
      <c r="K6" s="21" t="s">
        <v>194</v>
      </c>
      <c r="L6" s="19" t="s">
        <v>195</v>
      </c>
      <c r="M6" s="19" t="s">
        <v>552</v>
      </c>
    </row>
    <row r="7" customFormat="false" ht="18" hidden="false" customHeight="true" outlineLevel="0" collapsed="false">
      <c r="A7" s="22" t="s">
        <v>553</v>
      </c>
      <c r="B7" s="22" t="s">
        <v>554</v>
      </c>
      <c r="C7" s="22" t="s">
        <v>15</v>
      </c>
      <c r="D7" s="22" t="str">
        <f aca="false">IFERROR(IF('IP Input Sheet'!D6&lt;&gt;"",'IP Input Sheet'!D6,IF('IP Input Sheet'!E6&lt;&gt;"",'IP Input Sheet'!E6,'IP Input Sheet'!F6)),"[Enter IP]")</f>
        <v>10.5.25.64/26</v>
      </c>
      <c r="E7" s="22" t="s">
        <v>157</v>
      </c>
      <c r="F7" s="22" t="n">
        <f aca="false">'IP Input Sheet'!D43</f>
        <v>0</v>
      </c>
      <c r="G7" s="22" t="s">
        <v>216</v>
      </c>
      <c r="H7" s="22" t="s">
        <v>217</v>
      </c>
      <c r="I7" s="22" t="s">
        <v>548</v>
      </c>
      <c r="J7" s="20" t="s">
        <v>193</v>
      </c>
      <c r="K7" s="21" t="s">
        <v>194</v>
      </c>
      <c r="L7" s="22" t="s">
        <v>195</v>
      </c>
      <c r="M7" s="22"/>
    </row>
    <row r="8" customFormat="false" ht="18" hidden="false" customHeight="true" outlineLevel="0" collapsed="false">
      <c r="A8" s="19" t="s">
        <v>555</v>
      </c>
      <c r="B8" s="19" t="s">
        <v>556</v>
      </c>
      <c r="C8" s="19" t="s">
        <v>15</v>
      </c>
      <c r="D8" s="19" t="str">
        <f aca="false">IFERROR(IF('IP Input Sheet'!D6&lt;&gt;"",'IP Input Sheet'!D6,IF('IP Input Sheet'!E6&lt;&gt;"",'IP Input Sheet'!E6,'IP Input Sheet'!F6)),"[Enter IP]")</f>
        <v>10.5.25.64/26</v>
      </c>
      <c r="E8" s="19" t="s">
        <v>261</v>
      </c>
      <c r="F8" s="19" t="n">
        <f aca="false">'IP Input Sheet'!D44</f>
        <v>0</v>
      </c>
      <c r="G8" s="19" t="s">
        <v>262</v>
      </c>
      <c r="H8" s="19" t="s">
        <v>191</v>
      </c>
      <c r="I8" s="19" t="s">
        <v>263</v>
      </c>
      <c r="J8" s="20" t="s">
        <v>193</v>
      </c>
      <c r="K8" s="21" t="s">
        <v>194</v>
      </c>
      <c r="L8" s="19" t="s">
        <v>195</v>
      </c>
      <c r="M8" s="19"/>
    </row>
    <row r="9" customFormat="false" ht="18" hidden="false" customHeight="true" outlineLevel="0" collapsed="false">
      <c r="A9" s="22" t="s">
        <v>557</v>
      </c>
      <c r="B9" s="22" t="s">
        <v>558</v>
      </c>
      <c r="C9" s="22" t="s">
        <v>15</v>
      </c>
      <c r="D9" s="22" t="str">
        <f aca="false">IFERROR(IF('IP Input Sheet'!D6&lt;&gt;"",'IP Input Sheet'!D6,IF('IP Input Sheet'!E6&lt;&gt;"",'IP Input Sheet'!E6,'IP Input Sheet'!F6)),"[Enter IP]")</f>
        <v>10.5.25.64/26</v>
      </c>
      <c r="E9" s="22" t="s">
        <v>261</v>
      </c>
      <c r="F9" s="22" t="n">
        <f aca="false">'IP Input Sheet'!D44</f>
        <v>0</v>
      </c>
      <c r="G9" s="22" t="s">
        <v>266</v>
      </c>
      <c r="H9" s="22" t="s">
        <v>191</v>
      </c>
      <c r="I9" s="22" t="s">
        <v>559</v>
      </c>
      <c r="J9" s="20" t="s">
        <v>193</v>
      </c>
      <c r="K9" s="21" t="s">
        <v>194</v>
      </c>
      <c r="L9" s="22" t="s">
        <v>195</v>
      </c>
      <c r="M9" s="22"/>
    </row>
    <row r="10" customFormat="false" ht="18" hidden="false" customHeight="true" outlineLevel="0" collapsed="false">
      <c r="A10" s="19" t="s">
        <v>560</v>
      </c>
      <c r="B10" s="19" t="s">
        <v>561</v>
      </c>
      <c r="C10" s="19" t="s">
        <v>15</v>
      </c>
      <c r="D10" s="19" t="str">
        <f aca="false">IFERROR(IF('IP Input Sheet'!D6&lt;&gt;"",'IP Input Sheet'!D6,IF('IP Input Sheet'!E6&lt;&gt;"",'IP Input Sheet'!E6,'IP Input Sheet'!F6)),"[Enter IP]")</f>
        <v>10.5.25.64/26</v>
      </c>
      <c r="E10" s="19" t="s">
        <v>261</v>
      </c>
      <c r="F10" s="19" t="n">
        <f aca="false">'IP Input Sheet'!D44</f>
        <v>0</v>
      </c>
      <c r="G10" s="19" t="s">
        <v>270</v>
      </c>
      <c r="H10" s="19" t="s">
        <v>191</v>
      </c>
      <c r="I10" s="19" t="s">
        <v>562</v>
      </c>
      <c r="J10" s="20" t="s">
        <v>193</v>
      </c>
      <c r="K10" s="21" t="s">
        <v>194</v>
      </c>
      <c r="L10" s="19" t="s">
        <v>195</v>
      </c>
      <c r="M10" s="19"/>
    </row>
    <row r="11" customFormat="false" ht="18" hidden="false" customHeight="true" outlineLevel="0" collapsed="false">
      <c r="A11" s="22" t="s">
        <v>563</v>
      </c>
      <c r="B11" s="22" t="s">
        <v>564</v>
      </c>
      <c r="C11" s="22" t="s">
        <v>15</v>
      </c>
      <c r="D11" s="22" t="str">
        <f aca="false">IFERROR(IF('IP Input Sheet'!D6&lt;&gt;"",'IP Input Sheet'!D6,IF('IP Input Sheet'!E6&lt;&gt;"",'IP Input Sheet'!E6,'IP Input Sheet'!F6)),"[Enter IP]")</f>
        <v>10.5.25.64/26</v>
      </c>
      <c r="E11" s="22" t="s">
        <v>274</v>
      </c>
      <c r="F11" s="22" t="n">
        <f aca="false">'IP Input Sheet'!D46</f>
        <v>0</v>
      </c>
      <c r="G11" s="22" t="s">
        <v>226</v>
      </c>
      <c r="H11" s="22" t="s">
        <v>191</v>
      </c>
      <c r="I11" s="22" t="s">
        <v>565</v>
      </c>
      <c r="J11" s="20" t="s">
        <v>193</v>
      </c>
      <c r="K11" s="21" t="s">
        <v>194</v>
      </c>
      <c r="L11" s="22" t="s">
        <v>195</v>
      </c>
      <c r="M11" s="22" t="s">
        <v>566</v>
      </c>
    </row>
    <row r="12" customFormat="false" ht="18" hidden="false" customHeight="true" outlineLevel="0" collapsed="false">
      <c r="A12" s="19" t="s">
        <v>567</v>
      </c>
      <c r="B12" s="19" t="s">
        <v>568</v>
      </c>
      <c r="C12" s="19" t="s">
        <v>28</v>
      </c>
      <c r="D12" s="19" t="str">
        <f aca="false">IFERROR(IF('IP Input Sheet'!D10&lt;&gt;"",'IP Input Sheet'!D10,IF('IP Input Sheet'!E10&lt;&gt;"",'IP Input Sheet'!E10,'IP Input Sheet'!F10)),"[Enter IP]")</f>
        <v>10.3.118.0/24</v>
      </c>
      <c r="E12" s="19" t="s">
        <v>261</v>
      </c>
      <c r="F12" s="19" t="n">
        <f aca="false">'IP Input Sheet'!D44</f>
        <v>0</v>
      </c>
      <c r="G12" s="19" t="s">
        <v>262</v>
      </c>
      <c r="H12" s="19" t="s">
        <v>211</v>
      </c>
      <c r="I12" s="19" t="s">
        <v>569</v>
      </c>
      <c r="J12" s="20" t="s">
        <v>193</v>
      </c>
      <c r="K12" s="21" t="s">
        <v>194</v>
      </c>
      <c r="L12" s="19" t="s">
        <v>195</v>
      </c>
      <c r="M12" s="19" t="s">
        <v>570</v>
      </c>
    </row>
    <row r="13" customFormat="false" ht="18" hidden="false" customHeight="true" outlineLevel="0" collapsed="false">
      <c r="A13" s="22" t="s">
        <v>571</v>
      </c>
      <c r="B13" s="22" t="s">
        <v>572</v>
      </c>
      <c r="C13" s="22" t="s">
        <v>28</v>
      </c>
      <c r="D13" s="22" t="str">
        <f aca="false">IFERROR(IF('IP Input Sheet'!D10&lt;&gt;"",'IP Input Sheet'!D10,IF('IP Input Sheet'!E10&lt;&gt;"",'IP Input Sheet'!E10,'IP Input Sheet'!F10)),"[Enter IP]")</f>
        <v>10.3.118.0/24</v>
      </c>
      <c r="E13" s="22" t="s">
        <v>261</v>
      </c>
      <c r="F13" s="22" t="n">
        <f aca="false">'IP Input Sheet'!D44</f>
        <v>0</v>
      </c>
      <c r="G13" s="22" t="s">
        <v>266</v>
      </c>
      <c r="H13" s="22" t="s">
        <v>191</v>
      </c>
      <c r="I13" s="22" t="s">
        <v>559</v>
      </c>
      <c r="J13" s="20" t="s">
        <v>193</v>
      </c>
      <c r="K13" s="21" t="s">
        <v>194</v>
      </c>
      <c r="L13" s="22" t="s">
        <v>195</v>
      </c>
      <c r="M13" s="22"/>
    </row>
    <row r="14" customFormat="false" ht="18" hidden="false" customHeight="true" outlineLevel="0" collapsed="false">
      <c r="A14" s="19" t="s">
        <v>573</v>
      </c>
      <c r="B14" s="19" t="s">
        <v>574</v>
      </c>
      <c r="C14" s="19" t="s">
        <v>28</v>
      </c>
      <c r="D14" s="19" t="str">
        <f aca="false">IFERROR(IF('IP Input Sheet'!D10&lt;&gt;"",'IP Input Sheet'!D10,IF('IP Input Sheet'!E10&lt;&gt;"",'IP Input Sheet'!E10,'IP Input Sheet'!F10)),"[Enter IP]")</f>
        <v>10.3.118.0/24</v>
      </c>
      <c r="E14" s="19" t="s">
        <v>575</v>
      </c>
      <c r="F14" s="19" t="s">
        <v>576</v>
      </c>
      <c r="G14" s="19" t="s">
        <v>190</v>
      </c>
      <c r="H14" s="19" t="s">
        <v>191</v>
      </c>
      <c r="I14" s="19" t="s">
        <v>577</v>
      </c>
      <c r="J14" s="20" t="s">
        <v>193</v>
      </c>
      <c r="K14" s="21" t="s">
        <v>194</v>
      </c>
      <c r="L14" s="19" t="s">
        <v>195</v>
      </c>
      <c r="M14" s="19" t="s">
        <v>578</v>
      </c>
    </row>
    <row r="15" customFormat="false" ht="18" hidden="false" customHeight="true" outlineLevel="0" collapsed="false">
      <c r="A15" s="22" t="s">
        <v>579</v>
      </c>
      <c r="B15" s="22" t="s">
        <v>580</v>
      </c>
      <c r="C15" s="22" t="s">
        <v>28</v>
      </c>
      <c r="D15" s="22" t="str">
        <f aca="false">IFERROR(IF('IP Input Sheet'!D10&lt;&gt;"",'IP Input Sheet'!D10,IF('IP Input Sheet'!E10&lt;&gt;"",'IP Input Sheet'!E10,'IP Input Sheet'!F10)),"[Enter IP]")</f>
        <v>10.3.118.0/24</v>
      </c>
      <c r="E15" s="22" t="s">
        <v>153</v>
      </c>
      <c r="F15" s="22" t="n">
        <f aca="false">'IP Input Sheet'!D42</f>
        <v>0</v>
      </c>
      <c r="G15" s="22" t="s">
        <v>210</v>
      </c>
      <c r="H15" s="22" t="s">
        <v>211</v>
      </c>
      <c r="I15" s="22" t="s">
        <v>581</v>
      </c>
      <c r="J15" s="20" t="s">
        <v>193</v>
      </c>
      <c r="K15" s="21" t="s">
        <v>194</v>
      </c>
      <c r="L15" s="22" t="s">
        <v>195</v>
      </c>
      <c r="M15" s="22"/>
    </row>
    <row r="16" customFormat="false" ht="18" hidden="false" customHeight="true" outlineLevel="0" collapsed="false">
      <c r="A16" s="19" t="s">
        <v>582</v>
      </c>
      <c r="B16" s="19" t="s">
        <v>583</v>
      </c>
      <c r="C16" s="19" t="s">
        <v>28</v>
      </c>
      <c r="D16" s="19" t="str">
        <f aca="false">IFERROR(IF('IP Input Sheet'!D10&lt;&gt;"",'IP Input Sheet'!D10,IF('IP Input Sheet'!E10&lt;&gt;"",'IP Input Sheet'!E10,'IP Input Sheet'!F10)),"[Enter IP]")</f>
        <v>10.3.118.0/24</v>
      </c>
      <c r="E16" s="19" t="s">
        <v>157</v>
      </c>
      <c r="F16" s="19" t="n">
        <f aca="false">'IP Input Sheet'!D43</f>
        <v>0</v>
      </c>
      <c r="G16" s="19" t="s">
        <v>216</v>
      </c>
      <c r="H16" s="19" t="s">
        <v>217</v>
      </c>
      <c r="I16" s="19" t="s">
        <v>548</v>
      </c>
      <c r="J16" s="20" t="s">
        <v>193</v>
      </c>
      <c r="K16" s="21" t="s">
        <v>194</v>
      </c>
      <c r="L16" s="19" t="s">
        <v>195</v>
      </c>
      <c r="M16" s="19"/>
    </row>
    <row r="17" customFormat="false" ht="18" hidden="false" customHeight="true" outlineLevel="0" collapsed="false">
      <c r="A17" s="22" t="s">
        <v>584</v>
      </c>
      <c r="B17" s="22" t="s">
        <v>585</v>
      </c>
      <c r="C17" s="22" t="s">
        <v>28</v>
      </c>
      <c r="D17" s="22" t="str">
        <f aca="false">IFERROR(IF('IP Input Sheet'!D10&lt;&gt;"",'IP Input Sheet'!D10,IF('IP Input Sheet'!E10&lt;&gt;"",'IP Input Sheet'!E10,'IP Input Sheet'!F10)),"[Enter IP]")</f>
        <v>10.3.118.0/24</v>
      </c>
      <c r="E17" s="22" t="s">
        <v>274</v>
      </c>
      <c r="F17" s="22" t="n">
        <f aca="false">'IP Input Sheet'!D46</f>
        <v>0</v>
      </c>
      <c r="G17" s="22" t="s">
        <v>226</v>
      </c>
      <c r="H17" s="22" t="s">
        <v>191</v>
      </c>
      <c r="I17" s="22" t="s">
        <v>586</v>
      </c>
      <c r="J17" s="20" t="s">
        <v>193</v>
      </c>
      <c r="K17" s="21" t="s">
        <v>194</v>
      </c>
      <c r="L17" s="22" t="s">
        <v>195</v>
      </c>
      <c r="M17" s="22"/>
    </row>
    <row r="18" customFormat="false" ht="18" hidden="false" customHeight="true" outlineLevel="0" collapsed="false">
      <c r="A18" s="19" t="s">
        <v>587</v>
      </c>
      <c r="B18" s="19" t="s">
        <v>588</v>
      </c>
      <c r="C18" s="19" t="s">
        <v>28</v>
      </c>
      <c r="D18" s="19" t="str">
        <f aca="false">IFERROR(IF('IP Input Sheet'!D10&lt;&gt;"",'IP Input Sheet'!D10,IF('IP Input Sheet'!E10&lt;&gt;"",'IP Input Sheet'!E10,'IP Input Sheet'!F10)),"[Enter IP]")</f>
        <v>10.3.118.0/24</v>
      </c>
      <c r="E18" s="19" t="s">
        <v>163</v>
      </c>
      <c r="F18" s="19" t="n">
        <f aca="false">'IP Input Sheet'!D45</f>
        <v>0</v>
      </c>
      <c r="G18" s="19" t="s">
        <v>190</v>
      </c>
      <c r="H18" s="19" t="s">
        <v>191</v>
      </c>
      <c r="I18" s="19" t="s">
        <v>589</v>
      </c>
      <c r="J18" s="20" t="s">
        <v>193</v>
      </c>
      <c r="K18" s="21" t="s">
        <v>194</v>
      </c>
      <c r="L18" s="19" t="s">
        <v>195</v>
      </c>
      <c r="M18" s="19"/>
    </row>
    <row r="19" customFormat="false" ht="18" hidden="false" customHeight="true" outlineLevel="0" collapsed="false">
      <c r="A19" s="22" t="s">
        <v>590</v>
      </c>
      <c r="B19" s="22" t="s">
        <v>591</v>
      </c>
      <c r="C19" s="22" t="s">
        <v>527</v>
      </c>
      <c r="D19" s="22" t="s">
        <v>592</v>
      </c>
      <c r="E19" s="22" t="s">
        <v>593</v>
      </c>
      <c r="F19" s="22" t="s">
        <v>594</v>
      </c>
      <c r="G19" s="22" t="s">
        <v>529</v>
      </c>
      <c r="H19" s="22" t="s">
        <v>529</v>
      </c>
      <c r="I19" s="22" t="s">
        <v>595</v>
      </c>
      <c r="J19" s="20" t="s">
        <v>193</v>
      </c>
      <c r="K19" s="21" t="s">
        <v>194</v>
      </c>
      <c r="L19" s="22" t="s">
        <v>200</v>
      </c>
      <c r="M19" s="22" t="s">
        <v>596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7.75" hidden="false" customHeight="true" outlineLevel="0" collapsed="false">
      <c r="A1" s="18" t="s">
        <v>597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2" t="s">
        <v>598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2</v>
      </c>
      <c r="B3" s="3" t="s">
        <v>599</v>
      </c>
      <c r="C3" s="3" t="s">
        <v>600</v>
      </c>
      <c r="D3" s="3" t="s">
        <v>601</v>
      </c>
      <c r="E3" s="3" t="s">
        <v>602</v>
      </c>
      <c r="F3" s="3" t="s">
        <v>603</v>
      </c>
      <c r="G3" s="3" t="s">
        <v>177</v>
      </c>
      <c r="H3" s="3" t="s">
        <v>604</v>
      </c>
      <c r="I3" s="3" t="s">
        <v>187</v>
      </c>
    </row>
    <row r="4" customFormat="false" ht="18" hidden="false" customHeight="true" outlineLevel="0" collapsed="false">
      <c r="A4" s="19" t="s">
        <v>605</v>
      </c>
      <c r="B4" s="19" t="s">
        <v>606</v>
      </c>
      <c r="C4" s="19" t="str">
        <f aca="false">IFERROR(IF('IP Input Sheet'!D11&lt;&gt;"",'IP Input Sheet'!D11,IF('IP Input Sheet'!E11&lt;&gt;"",'IP Input Sheet'!E11,'IP Input Sheet'!F11)),"[Enter IP]")</f>
        <v>10.5.25.64/26</v>
      </c>
      <c r="D4" s="19" t="s">
        <v>607</v>
      </c>
      <c r="E4" s="19" t="s">
        <v>608</v>
      </c>
      <c r="F4" s="21" t="s">
        <v>609</v>
      </c>
      <c r="G4" s="19" t="s">
        <v>527</v>
      </c>
      <c r="H4" s="19" t="s">
        <v>610</v>
      </c>
      <c r="I4" s="19" t="s">
        <v>611</v>
      </c>
    </row>
    <row r="5" customFormat="false" ht="18" hidden="false" customHeight="true" outlineLevel="0" collapsed="false">
      <c r="A5" s="22" t="s">
        <v>612</v>
      </c>
      <c r="B5" s="22" t="s">
        <v>430</v>
      </c>
      <c r="C5" s="22" t="str">
        <f aca="false">IFERROR(IF('IP Input Sheet'!D5&lt;&gt;"",'IP Input Sheet'!D5,IF('IP Input Sheet'!E5&lt;&gt;"",'IP Input Sheet'!E5,'IP Input Sheet'!F5)),"[Enter IP]")</f>
        <v>10.3.118.28</v>
      </c>
      <c r="D5" s="22" t="s">
        <v>607</v>
      </c>
      <c r="E5" s="22" t="s">
        <v>608</v>
      </c>
      <c r="F5" s="21" t="s">
        <v>608</v>
      </c>
      <c r="G5" s="22" t="s">
        <v>10</v>
      </c>
      <c r="H5" s="22" t="s">
        <v>610</v>
      </c>
      <c r="I5" s="22" t="s">
        <v>613</v>
      </c>
    </row>
    <row r="6" customFormat="false" ht="18" hidden="false" customHeight="true" outlineLevel="0" collapsed="false">
      <c r="A6" s="19" t="s">
        <v>614</v>
      </c>
      <c r="B6" s="19" t="s">
        <v>15</v>
      </c>
      <c r="C6" s="19" t="str">
        <f aca="false">IFERROR(IF('IP Input Sheet'!D6&lt;&gt;"",'IP Input Sheet'!D6,IF('IP Input Sheet'!E6&lt;&gt;"",'IP Input Sheet'!E6,'IP Input Sheet'!F6)),"[Enter IP]")</f>
        <v>10.5.25.64/26</v>
      </c>
      <c r="D6" s="19" t="s">
        <v>607</v>
      </c>
      <c r="E6" s="19" t="s">
        <v>608</v>
      </c>
      <c r="F6" s="21" t="s">
        <v>608</v>
      </c>
      <c r="G6" s="19" t="s">
        <v>615</v>
      </c>
      <c r="H6" s="19" t="s">
        <v>610</v>
      </c>
      <c r="I6" s="19" t="s">
        <v>616</v>
      </c>
    </row>
    <row r="7" customFormat="false" ht="18" hidden="false" customHeight="true" outlineLevel="0" collapsed="false">
      <c r="A7" s="22" t="s">
        <v>617</v>
      </c>
      <c r="B7" s="22" t="s">
        <v>19</v>
      </c>
      <c r="C7" s="22" t="str">
        <f aca="false">IFERROR(IF('IP Input Sheet'!D7&lt;&gt;"",'IP Input Sheet'!D7,IF('IP Input Sheet'!E7&lt;&gt;"",'IP Input Sheet'!E7,'IP Input Sheet'!F7)),"[Enter IP]")</f>
        <v>10.5.25.64/26</v>
      </c>
      <c r="D7" s="22" t="s">
        <v>607</v>
      </c>
      <c r="E7" s="22" t="s">
        <v>608</v>
      </c>
      <c r="F7" s="21" t="s">
        <v>608</v>
      </c>
      <c r="G7" s="22" t="s">
        <v>225</v>
      </c>
      <c r="H7" s="22" t="s">
        <v>610</v>
      </c>
      <c r="I7" s="22" t="s">
        <v>616</v>
      </c>
    </row>
    <row r="8" customFormat="false" ht="18" hidden="false" customHeight="true" outlineLevel="0" collapsed="false">
      <c r="A8" s="19" t="s">
        <v>618</v>
      </c>
      <c r="B8" s="19" t="s">
        <v>619</v>
      </c>
      <c r="C8" s="19" t="str">
        <f aca="false">IFERROR(IF('IP Input Sheet'!D8&lt;&gt;"",'IP Input Sheet'!D8,IF('IP Input Sheet'!E8&lt;&gt;"",'IP Input Sheet'!E8,'IP Input Sheet'!F8)),"[Enter IP]")</f>
        <v>10.5.25.64/26</v>
      </c>
      <c r="D8" s="19" t="s">
        <v>607</v>
      </c>
      <c r="E8" s="19" t="s">
        <v>608</v>
      </c>
      <c r="F8" s="21" t="s">
        <v>608</v>
      </c>
      <c r="G8" s="19" t="s">
        <v>445</v>
      </c>
      <c r="H8" s="19" t="s">
        <v>610</v>
      </c>
      <c r="I8" s="19" t="s">
        <v>616</v>
      </c>
    </row>
    <row r="9" customFormat="false" ht="18" hidden="false" customHeight="true" outlineLevel="0" collapsed="false">
      <c r="A9" s="22" t="s">
        <v>620</v>
      </c>
      <c r="B9" s="22" t="s">
        <v>316</v>
      </c>
      <c r="C9" s="22" t="str">
        <f aca="false">IFERROR(IF('IP Input Sheet'!D9&lt;&gt;"",'IP Input Sheet'!D9,IF('IP Input Sheet'!E9&lt;&gt;"",'IP Input Sheet'!E9,'IP Input Sheet'!F9)),"[Enter IP]")</f>
        <v>10.5.25.64/26</v>
      </c>
      <c r="D9" s="22" t="s">
        <v>607</v>
      </c>
      <c r="E9" s="22" t="s">
        <v>608</v>
      </c>
      <c r="F9" s="21" t="s">
        <v>608</v>
      </c>
      <c r="G9" s="22" t="s">
        <v>454</v>
      </c>
      <c r="H9" s="22" t="s">
        <v>610</v>
      </c>
      <c r="I9" s="22" t="s">
        <v>616</v>
      </c>
    </row>
    <row r="10" customFormat="false" ht="18" hidden="false" customHeight="true" outlineLevel="0" collapsed="false">
      <c r="A10" s="19" t="s">
        <v>621</v>
      </c>
      <c r="B10" s="19" t="s">
        <v>28</v>
      </c>
      <c r="C10" s="19" t="str">
        <f aca="false">IFERROR(IF('IP Input Sheet'!D10&lt;&gt;"",'IP Input Sheet'!D10,IF('IP Input Sheet'!E10&lt;&gt;"",'IP Input Sheet'!E10,'IP Input Sheet'!F10)),"[Enter IP]")</f>
        <v>10.3.118.0/24</v>
      </c>
      <c r="D10" s="19" t="s">
        <v>607</v>
      </c>
      <c r="E10" s="19" t="s">
        <v>608</v>
      </c>
      <c r="F10" s="21" t="s">
        <v>608</v>
      </c>
      <c r="G10" s="19" t="s">
        <v>622</v>
      </c>
      <c r="H10" s="19" t="s">
        <v>610</v>
      </c>
      <c r="I10" s="19" t="s">
        <v>623</v>
      </c>
    </row>
    <row r="11" customFormat="false" ht="18" hidden="false" customHeight="true" outlineLevel="0" collapsed="false">
      <c r="A11" s="22" t="s">
        <v>624</v>
      </c>
      <c r="B11" s="22" t="s">
        <v>625</v>
      </c>
      <c r="C11" s="22" t="str">
        <f aca="false">IFERROR(IF('IP Input Sheet'!D13&lt;&gt;"",'IP Input Sheet'!D13,IF('IP Input Sheet'!E13&lt;&gt;"",'IP Input Sheet'!E13,'IP Input Sheet'!F13)),"[Enter IP]")</f>
        <v>10.3.118.18</v>
      </c>
      <c r="D11" s="22" t="s">
        <v>626</v>
      </c>
      <c r="E11" s="22" t="s">
        <v>627</v>
      </c>
      <c r="F11" s="28" t="s">
        <v>628</v>
      </c>
      <c r="G11" s="22" t="s">
        <v>629</v>
      </c>
      <c r="H11" s="22" t="s">
        <v>610</v>
      </c>
      <c r="I11" s="22" t="s">
        <v>630</v>
      </c>
    </row>
    <row r="12" customFormat="false" ht="18" hidden="false" customHeight="true" outlineLevel="0" collapsed="false">
      <c r="A12" s="19" t="s">
        <v>631</v>
      </c>
      <c r="B12" s="19" t="s">
        <v>37</v>
      </c>
      <c r="C12" s="19" t="str">
        <f aca="false">IFERROR(IF('IP Input Sheet'!D13&lt;&gt;"",'IP Input Sheet'!D13,IF('IP Input Sheet'!E13&lt;&gt;"",'IP Input Sheet'!E13,'IP Input Sheet'!F13)),"[Enter IP]")</f>
        <v>10.3.118.18</v>
      </c>
      <c r="D12" s="19" t="s">
        <v>626</v>
      </c>
      <c r="E12" s="19" t="s">
        <v>627</v>
      </c>
      <c r="F12" s="19" t="s">
        <v>632</v>
      </c>
      <c r="G12" s="19" t="s">
        <v>37</v>
      </c>
      <c r="H12" s="19" t="s">
        <v>610</v>
      </c>
      <c r="I12" s="19"/>
    </row>
    <row r="13" customFormat="false" ht="18" hidden="false" customHeight="true" outlineLevel="0" collapsed="false">
      <c r="A13" s="22" t="s">
        <v>633</v>
      </c>
      <c r="B13" s="22" t="s">
        <v>206</v>
      </c>
      <c r="C13" s="22" t="str">
        <f aca="false">IFERROR(IF('IP Input Sheet'!D14&lt;&gt;"",'IP Input Sheet'!D14,IF('IP Input Sheet'!E14&lt;&gt;"",'IP Input Sheet'!E14,'IP Input Sheet'!F14)),"[Enter IP]")</f>
        <v>10.3.118.0/24</v>
      </c>
      <c r="D13" s="22" t="s">
        <v>626</v>
      </c>
      <c r="E13" s="22" t="s">
        <v>627</v>
      </c>
      <c r="F13" s="22" t="s">
        <v>632</v>
      </c>
      <c r="G13" s="22" t="s">
        <v>206</v>
      </c>
      <c r="H13" s="22" t="s">
        <v>610</v>
      </c>
      <c r="I13" s="22"/>
    </row>
    <row r="14" customFormat="false" ht="18" hidden="false" customHeight="true" outlineLevel="0" collapsed="false">
      <c r="A14" s="19" t="s">
        <v>634</v>
      </c>
      <c r="B14" s="19" t="s">
        <v>48</v>
      </c>
      <c r="C14" s="19" t="str">
        <f aca="false">IFERROR(IF('IP Input Sheet'!D16&lt;&gt;"",'IP Input Sheet'!D16,IF('IP Input Sheet'!E16&lt;&gt;"",'IP Input Sheet'!E16,'IP Input Sheet'!F16)),"[Enter IP]")</f>
        <v>10.3.118.30</v>
      </c>
      <c r="D14" s="19" t="s">
        <v>626</v>
      </c>
      <c r="E14" s="19" t="s">
        <v>627</v>
      </c>
      <c r="F14" s="19" t="s">
        <v>632</v>
      </c>
      <c r="G14" s="19" t="s">
        <v>48</v>
      </c>
      <c r="H14" s="19" t="s">
        <v>610</v>
      </c>
      <c r="I14" s="19"/>
    </row>
    <row r="15" customFormat="false" ht="18" hidden="false" customHeight="true" outlineLevel="0" collapsed="false">
      <c r="A15" s="22" t="s">
        <v>635</v>
      </c>
      <c r="B15" s="22" t="s">
        <v>636</v>
      </c>
      <c r="C15" s="22" t="str">
        <f aca="false">IFERROR(IF('IP Input Sheet'!D36&lt;&gt;"",'IP Input Sheet'!D36,IF('IP Input Sheet'!E36&lt;&gt;"",'IP Input Sheet'!E36,'IP Input Sheet'!F36)),"[Enter IP]")</f>
        <v>10.3.118.0/24</v>
      </c>
      <c r="D15" s="22" t="s">
        <v>626</v>
      </c>
      <c r="E15" s="22" t="s">
        <v>637</v>
      </c>
      <c r="F15" s="22" t="s">
        <v>632</v>
      </c>
      <c r="G15" s="22" t="s">
        <v>638</v>
      </c>
      <c r="H15" s="22" t="s">
        <v>610</v>
      </c>
      <c r="I15" s="22" t="s">
        <v>639</v>
      </c>
    </row>
    <row r="16" customFormat="false" ht="18" hidden="false" customHeight="true" outlineLevel="0" collapsed="false">
      <c r="A16" s="19" t="s">
        <v>640</v>
      </c>
      <c r="B16" s="19" t="s">
        <v>641</v>
      </c>
      <c r="C16" s="19" t="n">
        <f aca="false">IFERROR(IF('IP Input Sheet'!D37&lt;&gt;"",'IP Input Sheet'!D37,IF('IP Input Sheet'!E37&lt;&gt;"",'IP Input Sheet'!E37,'IP Input Sheet'!F37)),"[Enter IP]")</f>
        <v>0</v>
      </c>
      <c r="D16" s="19" t="s">
        <v>626</v>
      </c>
      <c r="E16" s="19" t="s">
        <v>642</v>
      </c>
      <c r="F16" s="19" t="s">
        <v>632</v>
      </c>
      <c r="G16" s="19" t="s">
        <v>643</v>
      </c>
      <c r="H16" s="19" t="s">
        <v>610</v>
      </c>
      <c r="I16" s="19" t="s">
        <v>644</v>
      </c>
    </row>
    <row r="17" customFormat="false" ht="18" hidden="false" customHeight="true" outlineLevel="0" collapsed="false">
      <c r="A17" s="22" t="s">
        <v>645</v>
      </c>
      <c r="B17" s="22" t="s">
        <v>140</v>
      </c>
      <c r="C17" s="22" t="str">
        <f aca="false">IFERROR(IF('IP Input Sheet'!D18&lt;&gt;"",'IP Input Sheet'!D18,IF('IP Input Sheet'!E18&lt;&gt;"",'IP Input Sheet'!E18,'IP Input Sheet'!F18)),"[Enter IP]")</f>
        <v>10.3.118.0/24</v>
      </c>
      <c r="D17" s="22" t="s">
        <v>607</v>
      </c>
      <c r="E17" s="22" t="s">
        <v>646</v>
      </c>
      <c r="F17" s="29" t="s">
        <v>647</v>
      </c>
      <c r="G17" s="22" t="s">
        <v>648</v>
      </c>
      <c r="H17" s="22" t="s">
        <v>610</v>
      </c>
      <c r="I17" s="22" t="s">
        <v>649</v>
      </c>
    </row>
    <row r="18" customFormat="false" ht="18" hidden="false" customHeight="true" outlineLevel="0" collapsed="false">
      <c r="A18" s="19" t="s">
        <v>650</v>
      </c>
      <c r="B18" s="19" t="s">
        <v>153</v>
      </c>
      <c r="C18" s="19" t="str">
        <f aca="false">IFERROR(IF('IP Input Sheet'!D19&lt;&gt;"",'IP Input Sheet'!D19,IF('IP Input Sheet'!E19&lt;&gt;"",'IP Input Sheet'!E19,'IP Input Sheet'!F19)),"[Enter IP]")</f>
        <v>10.3.118.101</v>
      </c>
      <c r="D18" s="19" t="s">
        <v>651</v>
      </c>
      <c r="E18" s="19" t="s">
        <v>652</v>
      </c>
      <c r="F18" s="19" t="s">
        <v>632</v>
      </c>
      <c r="G18" s="19" t="s">
        <v>653</v>
      </c>
      <c r="H18" s="19" t="s">
        <v>654</v>
      </c>
      <c r="I18" s="19" t="s">
        <v>655</v>
      </c>
    </row>
    <row r="19" customFormat="false" ht="18" hidden="false" customHeight="true" outlineLevel="0" collapsed="false">
      <c r="A19" s="22" t="s">
        <v>656</v>
      </c>
      <c r="B19" s="22" t="s">
        <v>157</v>
      </c>
      <c r="C19" s="22" t="str">
        <f aca="false">'IP Input Sheet'!D25</f>
        <v>10.3.111.133</v>
      </c>
      <c r="D19" s="22" t="s">
        <v>651</v>
      </c>
      <c r="E19" s="22" t="s">
        <v>652</v>
      </c>
      <c r="F19" s="22" t="s">
        <v>632</v>
      </c>
      <c r="G19" s="22" t="s">
        <v>653</v>
      </c>
      <c r="H19" s="22" t="s">
        <v>654</v>
      </c>
      <c r="I19" s="22"/>
    </row>
    <row r="20" customFormat="false" ht="18" hidden="false" customHeight="true" outlineLevel="0" collapsed="false">
      <c r="A20" s="19" t="s">
        <v>657</v>
      </c>
      <c r="B20" s="19" t="s">
        <v>261</v>
      </c>
      <c r="C20" s="19" t="str">
        <f aca="false">'IP Input Sheet'!D26</f>
        <v>10.3.111.153</v>
      </c>
      <c r="D20" s="19" t="s">
        <v>651</v>
      </c>
      <c r="E20" s="19" t="s">
        <v>652</v>
      </c>
      <c r="F20" s="19" t="s">
        <v>632</v>
      </c>
      <c r="G20" s="19" t="s">
        <v>658</v>
      </c>
      <c r="H20" s="19" t="s">
        <v>654</v>
      </c>
      <c r="I20" s="19"/>
    </row>
    <row r="21" customFormat="false" ht="18" hidden="false" customHeight="true" outlineLevel="0" collapsed="false">
      <c r="A21" s="22" t="s">
        <v>659</v>
      </c>
      <c r="B21" s="22" t="s">
        <v>163</v>
      </c>
      <c r="C21" s="22" t="str">
        <f aca="false">'IP Input Sheet'!D27</f>
        <v>10.3.111.134</v>
      </c>
      <c r="D21" s="22" t="s">
        <v>651</v>
      </c>
      <c r="E21" s="22" t="s">
        <v>652</v>
      </c>
      <c r="F21" s="22" t="s">
        <v>632</v>
      </c>
      <c r="G21" s="22" t="s">
        <v>658</v>
      </c>
      <c r="H21" s="22" t="s">
        <v>654</v>
      </c>
      <c r="I21" s="22"/>
    </row>
    <row r="22" customFormat="false" ht="18" hidden="false" customHeight="true" outlineLevel="0" collapsed="false">
      <c r="A22" s="19" t="s">
        <v>660</v>
      </c>
      <c r="B22" s="19" t="s">
        <v>166</v>
      </c>
      <c r="C22" s="19" t="str">
        <f aca="false">'IP Input Sheet'!D28</f>
        <v>10.3.111.154</v>
      </c>
      <c r="D22" s="19" t="s">
        <v>651</v>
      </c>
      <c r="E22" s="19" t="s">
        <v>652</v>
      </c>
      <c r="F22" s="19" t="s">
        <v>632</v>
      </c>
      <c r="G22" s="19" t="s">
        <v>661</v>
      </c>
      <c r="H22" s="19" t="s">
        <v>654</v>
      </c>
      <c r="I22" s="19"/>
    </row>
    <row r="23" customFormat="false" ht="18" hidden="false" customHeight="true" outlineLevel="0" collapsed="false">
      <c r="A23" s="22" t="s">
        <v>662</v>
      </c>
      <c r="B23" s="22" t="s">
        <v>663</v>
      </c>
      <c r="C23" s="22" t="s">
        <v>664</v>
      </c>
      <c r="D23" s="22" t="s">
        <v>665</v>
      </c>
      <c r="E23" s="22" t="s">
        <v>666</v>
      </c>
      <c r="F23" s="28" t="s">
        <v>667</v>
      </c>
      <c r="G23" s="22" t="s">
        <v>668</v>
      </c>
      <c r="H23" s="22" t="s">
        <v>669</v>
      </c>
      <c r="I23" s="22" t="s">
        <v>670</v>
      </c>
    </row>
    <row r="24" customFormat="false" ht="18" hidden="false" customHeight="true" outlineLevel="0" collapsed="false">
      <c r="A24" s="19" t="s">
        <v>671</v>
      </c>
      <c r="B24" s="19" t="s">
        <v>672</v>
      </c>
      <c r="C24" s="19" t="s">
        <v>673</v>
      </c>
      <c r="D24" s="19" t="s">
        <v>665</v>
      </c>
      <c r="E24" s="19" t="s">
        <v>674</v>
      </c>
      <c r="F24" s="28" t="s">
        <v>667</v>
      </c>
      <c r="G24" s="19" t="s">
        <v>393</v>
      </c>
      <c r="H24" s="19" t="s">
        <v>669</v>
      </c>
      <c r="I24" s="19" t="s">
        <v>675</v>
      </c>
    </row>
    <row r="25" customFormat="false" ht="18" hidden="false" customHeight="true" outlineLevel="0" collapsed="false">
      <c r="A25" s="22" t="s">
        <v>676</v>
      </c>
      <c r="B25" s="22" t="s">
        <v>677</v>
      </c>
      <c r="C25" s="22" t="s">
        <v>678</v>
      </c>
      <c r="D25" s="22" t="s">
        <v>679</v>
      </c>
      <c r="E25" s="22" t="s">
        <v>680</v>
      </c>
      <c r="F25" s="28" t="s">
        <v>667</v>
      </c>
      <c r="G25" s="22" t="s">
        <v>681</v>
      </c>
      <c r="H25" s="22" t="s">
        <v>654</v>
      </c>
      <c r="I25" s="22" t="s">
        <v>682</v>
      </c>
    </row>
    <row r="26" customFormat="false" ht="18" hidden="false" customHeight="true" outlineLevel="0" collapsed="false">
      <c r="A26" s="19" t="s">
        <v>683</v>
      </c>
      <c r="B26" s="19" t="s">
        <v>679</v>
      </c>
      <c r="C26" s="19" t="s">
        <v>684</v>
      </c>
      <c r="D26" s="19" t="s">
        <v>685</v>
      </c>
      <c r="E26" s="19" t="s">
        <v>686</v>
      </c>
      <c r="F26" s="29" t="s">
        <v>687</v>
      </c>
      <c r="G26" s="19" t="s">
        <v>688</v>
      </c>
      <c r="H26" s="19" t="s">
        <v>654</v>
      </c>
      <c r="I26" s="19" t="s">
        <v>689</v>
      </c>
    </row>
    <row r="27" customFormat="false" ht="18" hidden="false" customHeight="true" outlineLevel="0" collapsed="false">
      <c r="A27" s="22" t="s">
        <v>640</v>
      </c>
      <c r="B27" s="22" t="s">
        <v>342</v>
      </c>
      <c r="C27" s="22" t="str">
        <f aca="false">IFERROR(IF('IP Input Sheet'!D19&lt;&gt;"",'IP Input Sheet'!D19,IF('IP Input Sheet'!E19&lt;&gt;"",'IP Input Sheet'!E19,'IP Input Sheet'!F19)),"[Enter IP]")</f>
        <v>10.3.118.101</v>
      </c>
      <c r="D27" s="22" t="s">
        <v>626</v>
      </c>
      <c r="E27" s="22" t="s">
        <v>627</v>
      </c>
      <c r="F27" s="22" t="s">
        <v>632</v>
      </c>
      <c r="G27" s="22" t="s">
        <v>690</v>
      </c>
      <c r="H27" s="22" t="s">
        <v>691</v>
      </c>
      <c r="I27" s="22" t="s">
        <v>692</v>
      </c>
    </row>
    <row r="28" customFormat="false" ht="18" hidden="false" customHeight="true" outlineLevel="0" collapsed="false">
      <c r="A28" s="19" t="s">
        <v>645</v>
      </c>
      <c r="B28" s="19" t="s">
        <v>693</v>
      </c>
      <c r="C28" s="19" t="str">
        <f aca="false">'IP Input Sheet'!D21</f>
        <v>10.3.111.101</v>
      </c>
      <c r="D28" s="19" t="s">
        <v>694</v>
      </c>
      <c r="E28" s="19" t="s">
        <v>695</v>
      </c>
      <c r="F28" s="29" t="s">
        <v>696</v>
      </c>
      <c r="G28" s="19" t="s">
        <v>697</v>
      </c>
      <c r="H28" s="19" t="s">
        <v>669</v>
      </c>
      <c r="I28" s="19" t="s">
        <v>698</v>
      </c>
    </row>
    <row r="29" customFormat="false" ht="18" hidden="false" customHeight="true" outlineLevel="0" collapsed="false">
      <c r="A29" s="22" t="s">
        <v>650</v>
      </c>
      <c r="B29" s="22" t="s">
        <v>699</v>
      </c>
      <c r="C29" s="22" t="str">
        <f aca="false">'IP Input Sheet'!D22</f>
        <v>10.3.111.121</v>
      </c>
      <c r="D29" s="22" t="s">
        <v>694</v>
      </c>
      <c r="E29" s="22" t="s">
        <v>700</v>
      </c>
      <c r="F29" s="29" t="s">
        <v>696</v>
      </c>
      <c r="G29" s="22" t="s">
        <v>701</v>
      </c>
      <c r="H29" s="22" t="s">
        <v>669</v>
      </c>
      <c r="I29" s="22" t="s">
        <v>698</v>
      </c>
    </row>
    <row r="30" customFormat="false" ht="18" hidden="false" customHeight="true" outlineLevel="0" collapsed="false">
      <c r="A30" s="19" t="s">
        <v>656</v>
      </c>
      <c r="B30" s="19" t="s">
        <v>702</v>
      </c>
      <c r="C30" s="19" t="str">
        <f aca="false">'IP Input Sheet'!D23</f>
        <v>10.3.111.102</v>
      </c>
      <c r="D30" s="19" t="s">
        <v>703</v>
      </c>
      <c r="E30" s="19" t="s">
        <v>704</v>
      </c>
      <c r="F30" s="29" t="s">
        <v>696</v>
      </c>
      <c r="G30" s="19" t="s">
        <v>697</v>
      </c>
      <c r="H30" s="19" t="s">
        <v>669</v>
      </c>
      <c r="I30" s="19" t="s">
        <v>705</v>
      </c>
    </row>
    <row r="31" customFormat="false" ht="18" hidden="false" customHeight="true" outlineLevel="0" collapsed="false">
      <c r="A31" s="22" t="s">
        <v>657</v>
      </c>
      <c r="B31" s="22" t="s">
        <v>706</v>
      </c>
      <c r="C31" s="22" t="str">
        <f aca="false">'IP Input Sheet'!D24</f>
        <v>10.3.111.122</v>
      </c>
      <c r="D31" s="22" t="s">
        <v>703</v>
      </c>
      <c r="E31" s="22" t="s">
        <v>707</v>
      </c>
      <c r="F31" s="29" t="s">
        <v>696</v>
      </c>
      <c r="G31" s="22" t="s">
        <v>701</v>
      </c>
      <c r="H31" s="22" t="s">
        <v>669</v>
      </c>
      <c r="I31" s="22" t="s">
        <v>705</v>
      </c>
    </row>
    <row r="32" customFormat="false" ht="18" hidden="false" customHeight="true" outlineLevel="0" collapsed="false">
      <c r="A32" s="19" t="s">
        <v>659</v>
      </c>
      <c r="B32" s="19" t="s">
        <v>708</v>
      </c>
      <c r="C32" s="19" t="str">
        <f aca="false">'IP Input Sheet'!D25</f>
        <v>10.3.111.133</v>
      </c>
      <c r="D32" s="19" t="s">
        <v>665</v>
      </c>
      <c r="E32" s="19" t="s">
        <v>709</v>
      </c>
      <c r="F32" s="28" t="s">
        <v>667</v>
      </c>
      <c r="G32" s="19" t="s">
        <v>393</v>
      </c>
      <c r="H32" s="19" t="s">
        <v>669</v>
      </c>
      <c r="I32" s="19" t="s">
        <v>710</v>
      </c>
    </row>
    <row r="33" customFormat="false" ht="18" hidden="false" customHeight="true" outlineLevel="0" collapsed="false">
      <c r="A33" s="22" t="s">
        <v>660</v>
      </c>
      <c r="B33" s="22" t="s">
        <v>711</v>
      </c>
      <c r="C33" s="22" t="str">
        <f aca="false">'IP Input Sheet'!D26</f>
        <v>10.3.111.153</v>
      </c>
      <c r="D33" s="22" t="s">
        <v>679</v>
      </c>
      <c r="E33" s="22" t="s">
        <v>712</v>
      </c>
      <c r="F33" s="28" t="s">
        <v>667</v>
      </c>
      <c r="G33" s="22" t="s">
        <v>713</v>
      </c>
      <c r="H33" s="22" t="s">
        <v>654</v>
      </c>
      <c r="I33" s="22" t="s">
        <v>714</v>
      </c>
    </row>
    <row r="34" customFormat="false" ht="18" hidden="false" customHeight="true" outlineLevel="0" collapsed="false">
      <c r="A34" s="19" t="s">
        <v>662</v>
      </c>
      <c r="B34" s="19" t="s">
        <v>715</v>
      </c>
      <c r="C34" s="19" t="str">
        <f aca="false">'IP Input Sheet'!D27</f>
        <v>10.3.111.134</v>
      </c>
      <c r="D34" s="19" t="s">
        <v>716</v>
      </c>
      <c r="E34" s="19" t="s">
        <v>717</v>
      </c>
      <c r="F34" s="29" t="s">
        <v>687</v>
      </c>
      <c r="G34" s="19" t="s">
        <v>718</v>
      </c>
      <c r="H34" s="19" t="s">
        <v>669</v>
      </c>
      <c r="I34" s="19" t="s">
        <v>719</v>
      </c>
    </row>
    <row r="35" customFormat="false" ht="18" hidden="false" customHeight="true" outlineLevel="0" collapsed="false">
      <c r="A35" s="26" t="s">
        <v>720</v>
      </c>
      <c r="B35" s="26" t="s">
        <v>721</v>
      </c>
      <c r="C35" s="26" t="str">
        <f aca="false">IFERROR(IF('IP Input Sheet'!D21&lt;&gt;"",'IP Input Sheet'!D21,IF('IP Input Sheet'!E21&lt;&gt;"",'IP Input Sheet'!E21,'IP Input Sheet'!F21)),"[Enter IP]")</f>
        <v>10.3.111.101</v>
      </c>
      <c r="D35" s="26" t="s">
        <v>722</v>
      </c>
      <c r="E35" s="26" t="s">
        <v>723</v>
      </c>
      <c r="F35" s="30" t="s">
        <v>696</v>
      </c>
      <c r="G35" s="26" t="s">
        <v>724</v>
      </c>
      <c r="H35" s="26" t="s">
        <v>669</v>
      </c>
      <c r="I35" s="26" t="s">
        <v>725</v>
      </c>
    </row>
    <row r="36" customFormat="false" ht="18" hidden="false" customHeight="true" outlineLevel="0" collapsed="false">
      <c r="A36" s="23" t="s">
        <v>726</v>
      </c>
      <c r="B36" s="23" t="s">
        <v>727</v>
      </c>
      <c r="C36" s="23" t="str">
        <f aca="false">IFERROR(IF('IP Input Sheet'!D22&lt;&gt;"",'IP Input Sheet'!D22,IF('IP Input Sheet'!E22&lt;&gt;"",'IP Input Sheet'!E22,'IP Input Sheet'!F22)),"[Enter IP]")</f>
        <v>10.3.111.121</v>
      </c>
      <c r="D36" s="23" t="s">
        <v>728</v>
      </c>
      <c r="E36" s="23" t="s">
        <v>729</v>
      </c>
      <c r="F36" s="30" t="s">
        <v>696</v>
      </c>
      <c r="G36" s="23" t="s">
        <v>724</v>
      </c>
      <c r="H36" s="23" t="s">
        <v>669</v>
      </c>
      <c r="I36" s="23" t="s">
        <v>730</v>
      </c>
    </row>
    <row r="37" customFormat="false" ht="18" hidden="false" customHeight="true" outlineLevel="0" collapsed="false">
      <c r="A37" s="26" t="s">
        <v>731</v>
      </c>
      <c r="B37" s="26" t="s">
        <v>732</v>
      </c>
      <c r="C37" s="26" t="str">
        <f aca="false">IFERROR(IF('IP Input Sheet'!D23&lt;&gt;"",'IP Input Sheet'!D23,IF('IP Input Sheet'!E23&lt;&gt;"",'IP Input Sheet'!E23,'IP Input Sheet'!F23)),"[Enter IP]")</f>
        <v>10.3.111.102</v>
      </c>
      <c r="D37" s="26" t="s">
        <v>722</v>
      </c>
      <c r="E37" s="26" t="s">
        <v>723</v>
      </c>
      <c r="F37" s="30" t="s">
        <v>696</v>
      </c>
      <c r="G37" s="26" t="s">
        <v>733</v>
      </c>
      <c r="H37" s="26" t="s">
        <v>669</v>
      </c>
      <c r="I37" s="26" t="s">
        <v>734</v>
      </c>
    </row>
    <row r="38" customFormat="false" ht="18" hidden="false" customHeight="true" outlineLevel="0" collapsed="false">
      <c r="A38" s="23" t="s">
        <v>735</v>
      </c>
      <c r="B38" s="23" t="s">
        <v>736</v>
      </c>
      <c r="C38" s="23" t="str">
        <f aca="false">IFERROR(IF('IP Input Sheet'!D24&lt;&gt;"",'IP Input Sheet'!D24,IF('IP Input Sheet'!E24&lt;&gt;"",'IP Input Sheet'!E24,'IP Input Sheet'!F24)),"[Enter IP]")</f>
        <v>10.3.111.122</v>
      </c>
      <c r="D38" s="23" t="s">
        <v>728</v>
      </c>
      <c r="E38" s="23" t="s">
        <v>729</v>
      </c>
      <c r="F38" s="30" t="s">
        <v>696</v>
      </c>
      <c r="G38" s="23" t="s">
        <v>733</v>
      </c>
      <c r="H38" s="23" t="s">
        <v>669</v>
      </c>
      <c r="I38" s="23" t="s">
        <v>737</v>
      </c>
    </row>
    <row r="39" customFormat="false" ht="18" hidden="false" customHeight="true" outlineLevel="0" collapsed="false">
      <c r="A39" s="26" t="s">
        <v>738</v>
      </c>
      <c r="B39" s="26" t="s">
        <v>739</v>
      </c>
      <c r="C39" s="26" t="str">
        <f aca="false">IFERROR(IF('IP Input Sheet'!D25&lt;&gt;"",'IP Input Sheet'!D25,IF('IP Input Sheet'!E25&lt;&gt;"",'IP Input Sheet'!E25,'IP Input Sheet'!F25)),"[Enter IP]")</f>
        <v>10.3.111.133</v>
      </c>
      <c r="D39" s="26" t="s">
        <v>740</v>
      </c>
      <c r="E39" s="26" t="s">
        <v>741</v>
      </c>
      <c r="F39" s="30" t="s">
        <v>696</v>
      </c>
      <c r="G39" s="26" t="s">
        <v>742</v>
      </c>
      <c r="H39" s="26" t="s">
        <v>669</v>
      </c>
      <c r="I39" s="26" t="s">
        <v>743</v>
      </c>
    </row>
    <row r="40" customFormat="false" ht="18" hidden="false" customHeight="true" outlineLevel="0" collapsed="false">
      <c r="A40" s="23" t="s">
        <v>744</v>
      </c>
      <c r="B40" s="23" t="s">
        <v>745</v>
      </c>
      <c r="C40" s="23" t="str">
        <f aca="false">IFERROR(IF('IP Input Sheet'!D26&lt;&gt;"",'IP Input Sheet'!D26,IF('IP Input Sheet'!E26&lt;&gt;"",'IP Input Sheet'!E26,'IP Input Sheet'!F26)),"[Enter IP]")</f>
        <v>10.3.111.153</v>
      </c>
      <c r="D40" s="23" t="s">
        <v>746</v>
      </c>
      <c r="E40" s="23" t="s">
        <v>747</v>
      </c>
      <c r="F40" s="30" t="s">
        <v>696</v>
      </c>
      <c r="G40" s="23" t="s">
        <v>742</v>
      </c>
      <c r="H40" s="23" t="s">
        <v>669</v>
      </c>
      <c r="I40" s="23" t="s">
        <v>748</v>
      </c>
    </row>
    <row r="41" customFormat="false" ht="18" hidden="false" customHeight="true" outlineLevel="0" collapsed="false">
      <c r="A41" s="26" t="s">
        <v>749</v>
      </c>
      <c r="B41" s="26" t="s">
        <v>750</v>
      </c>
      <c r="C41" s="26" t="str">
        <f aca="false">IFERROR(IF('IP Input Sheet'!D27&lt;&gt;"",'IP Input Sheet'!D27,IF('IP Input Sheet'!E27&lt;&gt;"",'IP Input Sheet'!E27,'IP Input Sheet'!F27)),"[Enter IP]")</f>
        <v>10.3.111.134</v>
      </c>
      <c r="D41" s="26" t="s">
        <v>740</v>
      </c>
      <c r="E41" s="26" t="s">
        <v>741</v>
      </c>
      <c r="F41" s="30" t="s">
        <v>696</v>
      </c>
      <c r="G41" s="26" t="s">
        <v>751</v>
      </c>
      <c r="H41" s="26" t="s">
        <v>669</v>
      </c>
      <c r="I41" s="26" t="s">
        <v>752</v>
      </c>
    </row>
    <row r="42" customFormat="false" ht="18" hidden="false" customHeight="true" outlineLevel="0" collapsed="false">
      <c r="A42" s="23" t="s">
        <v>753</v>
      </c>
      <c r="B42" s="23" t="s">
        <v>754</v>
      </c>
      <c r="C42" s="23" t="str">
        <f aca="false">IFERROR(IF('IP Input Sheet'!D28&lt;&gt;"",'IP Input Sheet'!D28,IF('IP Input Sheet'!E28&lt;&gt;"",'IP Input Sheet'!E28,'IP Input Sheet'!F28)),"[Enter IP]")</f>
        <v>10.3.111.154</v>
      </c>
      <c r="D42" s="23" t="s">
        <v>746</v>
      </c>
      <c r="E42" s="23" t="s">
        <v>747</v>
      </c>
      <c r="F42" s="30" t="s">
        <v>696</v>
      </c>
      <c r="G42" s="23" t="s">
        <v>751</v>
      </c>
      <c r="H42" s="23" t="s">
        <v>669</v>
      </c>
      <c r="I42" s="23" t="s">
        <v>755</v>
      </c>
    </row>
    <row r="43" customFormat="false" ht="18" hidden="false" customHeight="true" outlineLevel="0" collapsed="false">
      <c r="A43" s="26" t="s">
        <v>756</v>
      </c>
      <c r="B43" s="26" t="s">
        <v>708</v>
      </c>
      <c r="C43" s="26" t="str">
        <f aca="false">IFERROR(IF('IP Input Sheet'!D29&lt;&gt;"",'IP Input Sheet'!D29,IF('IP Input Sheet'!E29&lt;&gt;"",'IP Input Sheet'!E29,'IP Input Sheet'!F29)),"[Enter IP]")</f>
        <v>10.5.236.0/24</v>
      </c>
      <c r="D43" s="26" t="s">
        <v>665</v>
      </c>
      <c r="E43" s="26" t="s">
        <v>709</v>
      </c>
      <c r="F43" s="31" t="s">
        <v>667</v>
      </c>
      <c r="G43" s="26" t="s">
        <v>393</v>
      </c>
      <c r="H43" s="26" t="s">
        <v>669</v>
      </c>
      <c r="I43" s="26" t="s">
        <v>757</v>
      </c>
    </row>
    <row r="44" customFormat="false" ht="18" hidden="false" customHeight="true" outlineLevel="0" collapsed="false">
      <c r="A44" s="23" t="s">
        <v>758</v>
      </c>
      <c r="B44" s="23" t="s">
        <v>759</v>
      </c>
      <c r="C44" s="23" t="str">
        <f aca="false">IFERROR(IF('IP Input Sheet'!D30&lt;&gt;"",'IP Input Sheet'!D30,IF('IP Input Sheet'!E30&lt;&gt;"",'IP Input Sheet'!E30,'IP Input Sheet'!F30)),"[Enter IP]")</f>
        <v>10.5.22.0/24</v>
      </c>
      <c r="D44" s="23" t="s">
        <v>679</v>
      </c>
      <c r="E44" s="23" t="s">
        <v>712</v>
      </c>
      <c r="F44" s="31" t="s">
        <v>667</v>
      </c>
      <c r="G44" s="23" t="s">
        <v>760</v>
      </c>
      <c r="H44" s="23" t="s">
        <v>654</v>
      </c>
      <c r="I44" s="23" t="s">
        <v>761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36"/>
    <col collapsed="false" customWidth="true" hidden="false" outlineLevel="0" max="6" min="6" style="0" width="44"/>
  </cols>
  <sheetData>
    <row r="1" customFormat="false" ht="27.75" hidden="false" customHeight="true" outlineLevel="0" collapsed="false">
      <c r="A1" s="18" t="s">
        <v>762</v>
      </c>
      <c r="B1" s="18"/>
      <c r="C1" s="18"/>
      <c r="D1" s="18"/>
      <c r="E1" s="18"/>
      <c r="F1" s="18"/>
    </row>
    <row r="2" customFormat="false" ht="21.75" hidden="false" customHeight="true" outlineLevel="0" collapsed="false">
      <c r="A2" s="3" t="s">
        <v>181</v>
      </c>
      <c r="B2" s="3" t="s">
        <v>182</v>
      </c>
      <c r="C2" s="3" t="s">
        <v>763</v>
      </c>
      <c r="D2" s="3" t="s">
        <v>764</v>
      </c>
      <c r="E2" s="3" t="s">
        <v>765</v>
      </c>
      <c r="F2" s="3" t="s">
        <v>187</v>
      </c>
    </row>
    <row r="3" customFormat="false" ht="21.75" hidden="false" customHeight="true" outlineLevel="0" collapsed="false">
      <c r="A3" s="32" t="s">
        <v>226</v>
      </c>
      <c r="B3" s="22" t="s">
        <v>191</v>
      </c>
      <c r="C3" s="22" t="s">
        <v>301</v>
      </c>
      <c r="D3" s="22" t="s">
        <v>766</v>
      </c>
      <c r="E3" s="22" t="s">
        <v>767</v>
      </c>
      <c r="F3" s="22" t="s">
        <v>768</v>
      </c>
    </row>
    <row r="4" customFormat="false" ht="21.75" hidden="false" customHeight="true" outlineLevel="0" collapsed="false">
      <c r="A4" s="33" t="s">
        <v>769</v>
      </c>
      <c r="B4" s="19" t="s">
        <v>770</v>
      </c>
      <c r="C4" s="19" t="s">
        <v>771</v>
      </c>
      <c r="D4" s="19" t="s">
        <v>622</v>
      </c>
      <c r="E4" s="19" t="s">
        <v>772</v>
      </c>
      <c r="F4" s="19" t="s">
        <v>773</v>
      </c>
    </row>
    <row r="5" customFormat="false" ht="21.75" hidden="false" customHeight="true" outlineLevel="0" collapsed="false">
      <c r="A5" s="32" t="s">
        <v>210</v>
      </c>
      <c r="B5" s="22" t="s">
        <v>211</v>
      </c>
      <c r="C5" s="22" t="s">
        <v>551</v>
      </c>
      <c r="D5" s="22" t="s">
        <v>774</v>
      </c>
      <c r="E5" s="22" t="s">
        <v>775</v>
      </c>
      <c r="F5" s="22" t="s">
        <v>776</v>
      </c>
    </row>
    <row r="6" customFormat="false" ht="21.75" hidden="false" customHeight="true" outlineLevel="0" collapsed="false">
      <c r="A6" s="33" t="s">
        <v>216</v>
      </c>
      <c r="B6" s="19" t="s">
        <v>217</v>
      </c>
      <c r="C6" s="19" t="s">
        <v>777</v>
      </c>
      <c r="D6" s="19" t="s">
        <v>774</v>
      </c>
      <c r="E6" s="19" t="s">
        <v>778</v>
      </c>
      <c r="F6" s="19" t="s">
        <v>779</v>
      </c>
    </row>
    <row r="7" customFormat="false" ht="21.75" hidden="false" customHeight="true" outlineLevel="0" collapsed="false">
      <c r="A7" s="32" t="s">
        <v>337</v>
      </c>
      <c r="B7" s="22" t="s">
        <v>191</v>
      </c>
      <c r="C7" s="22" t="s">
        <v>780</v>
      </c>
      <c r="D7" s="22" t="s">
        <v>316</v>
      </c>
      <c r="E7" s="22" t="s">
        <v>781</v>
      </c>
      <c r="F7" s="22" t="s">
        <v>782</v>
      </c>
    </row>
    <row r="8" customFormat="false" ht="21.75" hidden="false" customHeight="true" outlineLevel="0" collapsed="false">
      <c r="A8" s="33" t="s">
        <v>262</v>
      </c>
      <c r="B8" s="19" t="s">
        <v>211</v>
      </c>
      <c r="C8" s="19" t="s">
        <v>783</v>
      </c>
      <c r="D8" s="19" t="s">
        <v>784</v>
      </c>
      <c r="E8" s="19" t="s">
        <v>785</v>
      </c>
      <c r="F8" s="19" t="s">
        <v>786</v>
      </c>
    </row>
    <row r="9" customFormat="false" ht="21.75" hidden="false" customHeight="true" outlineLevel="0" collapsed="false">
      <c r="A9" s="32" t="s">
        <v>190</v>
      </c>
      <c r="B9" s="22" t="s">
        <v>191</v>
      </c>
      <c r="C9" s="22" t="s">
        <v>787</v>
      </c>
      <c r="D9" s="22" t="s">
        <v>788</v>
      </c>
      <c r="E9" s="22" t="s">
        <v>788</v>
      </c>
      <c r="F9" s="22" t="s">
        <v>789</v>
      </c>
    </row>
    <row r="10" customFormat="false" ht="21.75" hidden="false" customHeight="true" outlineLevel="0" collapsed="false">
      <c r="A10" s="33" t="s">
        <v>446</v>
      </c>
      <c r="B10" s="19" t="s">
        <v>211</v>
      </c>
      <c r="C10" s="19" t="s">
        <v>790</v>
      </c>
      <c r="D10" s="19" t="s">
        <v>791</v>
      </c>
      <c r="E10" s="19" t="s">
        <v>619</v>
      </c>
      <c r="F10" s="19" t="s">
        <v>792</v>
      </c>
    </row>
    <row r="11" customFormat="false" ht="21.75" hidden="false" customHeight="true" outlineLevel="0" collapsed="false">
      <c r="A11" s="32" t="s">
        <v>266</v>
      </c>
      <c r="B11" s="22" t="s">
        <v>191</v>
      </c>
      <c r="C11" s="22" t="s">
        <v>793</v>
      </c>
      <c r="D11" s="22" t="s">
        <v>784</v>
      </c>
      <c r="E11" s="22" t="s">
        <v>785</v>
      </c>
      <c r="F11" s="22" t="s">
        <v>559</v>
      </c>
    </row>
    <row r="12" customFormat="false" ht="21.75" hidden="false" customHeight="true" outlineLevel="0" collapsed="false">
      <c r="A12" s="33" t="s">
        <v>294</v>
      </c>
      <c r="B12" s="19" t="s">
        <v>191</v>
      </c>
      <c r="C12" s="19" t="s">
        <v>794</v>
      </c>
      <c r="D12" s="19" t="s">
        <v>795</v>
      </c>
      <c r="E12" s="19" t="s">
        <v>796</v>
      </c>
      <c r="F12" s="19" t="s">
        <v>797</v>
      </c>
    </row>
    <row r="13" customFormat="false" ht="21.75" hidden="false" customHeight="true" outlineLevel="0" collapsed="false">
      <c r="A13" s="32" t="s">
        <v>450</v>
      </c>
      <c r="B13" s="22" t="s">
        <v>191</v>
      </c>
      <c r="C13" s="22" t="s">
        <v>451</v>
      </c>
      <c r="D13" s="22" t="s">
        <v>798</v>
      </c>
      <c r="E13" s="22" t="s">
        <v>619</v>
      </c>
      <c r="F13" s="22" t="s">
        <v>522</v>
      </c>
    </row>
    <row r="14" customFormat="false" ht="21.75" hidden="false" customHeight="true" outlineLevel="0" collapsed="false">
      <c r="A14" s="33" t="s">
        <v>317</v>
      </c>
      <c r="B14" s="19" t="s">
        <v>211</v>
      </c>
      <c r="C14" s="19" t="s">
        <v>799</v>
      </c>
      <c r="D14" s="19" t="s">
        <v>800</v>
      </c>
      <c r="E14" s="19" t="s">
        <v>801</v>
      </c>
      <c r="F14" s="19" t="s">
        <v>802</v>
      </c>
    </row>
    <row r="15" customFormat="false" ht="21.75" hidden="false" customHeight="true" outlineLevel="0" collapsed="false">
      <c r="A15" s="32" t="s">
        <v>270</v>
      </c>
      <c r="B15" s="22" t="s">
        <v>191</v>
      </c>
      <c r="C15" s="22" t="s">
        <v>562</v>
      </c>
      <c r="D15" s="22" t="s">
        <v>615</v>
      </c>
      <c r="E15" s="22" t="s">
        <v>785</v>
      </c>
      <c r="F15" s="22" t="s">
        <v>803</v>
      </c>
    </row>
    <row r="16" customFormat="false" ht="21.75" hidden="false" customHeight="true" outlineLevel="0" collapsed="false">
      <c r="A16" s="33" t="s">
        <v>322</v>
      </c>
      <c r="B16" s="19" t="s">
        <v>211</v>
      </c>
      <c r="C16" s="19" t="s">
        <v>804</v>
      </c>
      <c r="D16" s="19" t="s">
        <v>805</v>
      </c>
      <c r="E16" s="19" t="s">
        <v>806</v>
      </c>
      <c r="F16" s="19" t="s">
        <v>807</v>
      </c>
    </row>
    <row r="17" customFormat="false" ht="21.75" hidden="false" customHeight="true" outlineLevel="0" collapsed="false">
      <c r="A17" s="32" t="s">
        <v>232</v>
      </c>
      <c r="B17" s="22" t="s">
        <v>191</v>
      </c>
      <c r="C17" s="22" t="s">
        <v>808</v>
      </c>
      <c r="D17" s="22" t="s">
        <v>809</v>
      </c>
      <c r="E17" s="22" t="s">
        <v>810</v>
      </c>
      <c r="F17" s="22" t="s">
        <v>811</v>
      </c>
    </row>
    <row r="18" customFormat="false" ht="21.75" hidden="false" customHeight="true" outlineLevel="0" collapsed="false">
      <c r="A18" s="33" t="s">
        <v>465</v>
      </c>
      <c r="B18" s="19" t="s">
        <v>191</v>
      </c>
      <c r="C18" s="19" t="s">
        <v>812</v>
      </c>
      <c r="D18" s="19" t="s">
        <v>813</v>
      </c>
      <c r="E18" s="19" t="s">
        <v>814</v>
      </c>
      <c r="F18" s="19" t="s">
        <v>815</v>
      </c>
    </row>
    <row r="19" customFormat="false" ht="21.75" hidden="false" customHeight="true" outlineLevel="0" collapsed="false">
      <c r="A19" s="32" t="s">
        <v>251</v>
      </c>
      <c r="B19" s="22" t="s">
        <v>191</v>
      </c>
      <c r="C19" s="22" t="s">
        <v>816</v>
      </c>
      <c r="D19" s="22" t="s">
        <v>430</v>
      </c>
      <c r="E19" s="22" t="s">
        <v>225</v>
      </c>
      <c r="F19" s="22" t="s">
        <v>817</v>
      </c>
    </row>
    <row r="20" customFormat="false" ht="21.75" hidden="false" customHeight="true" outlineLevel="0" collapsed="false">
      <c r="A20" s="33" t="s">
        <v>438</v>
      </c>
      <c r="B20" s="19" t="s">
        <v>191</v>
      </c>
      <c r="C20" s="19" t="s">
        <v>439</v>
      </c>
      <c r="D20" s="19" t="s">
        <v>818</v>
      </c>
      <c r="E20" s="19" t="s">
        <v>819</v>
      </c>
      <c r="F20" s="19" t="s">
        <v>820</v>
      </c>
    </row>
    <row r="21" customFormat="false" ht="21.75" hidden="false" customHeight="true" outlineLevel="0" collapsed="false">
      <c r="A21" s="32" t="s">
        <v>489</v>
      </c>
      <c r="B21" s="22" t="s">
        <v>191</v>
      </c>
      <c r="C21" s="22" t="s">
        <v>821</v>
      </c>
      <c r="D21" s="22" t="s">
        <v>822</v>
      </c>
      <c r="E21" s="22" t="s">
        <v>814</v>
      </c>
      <c r="F21" s="22" t="s">
        <v>823</v>
      </c>
    </row>
    <row r="22" customFormat="false" ht="21.75" hidden="false" customHeight="true" outlineLevel="0" collapsed="false">
      <c r="A22" s="33" t="s">
        <v>824</v>
      </c>
      <c r="B22" s="19" t="s">
        <v>191</v>
      </c>
      <c r="C22" s="19" t="s">
        <v>825</v>
      </c>
      <c r="D22" s="19" t="s">
        <v>826</v>
      </c>
      <c r="E22" s="19" t="s">
        <v>48</v>
      </c>
      <c r="F22" s="19" t="s">
        <v>827</v>
      </c>
    </row>
    <row r="23" customFormat="false" ht="21.75" hidden="false" customHeight="true" outlineLevel="0" collapsed="false">
      <c r="A23" s="32" t="s">
        <v>496</v>
      </c>
      <c r="B23" s="22" t="s">
        <v>191</v>
      </c>
      <c r="C23" s="22" t="s">
        <v>828</v>
      </c>
      <c r="D23" s="22" t="s">
        <v>822</v>
      </c>
      <c r="E23" s="22" t="s">
        <v>814</v>
      </c>
      <c r="F23" s="22" t="s">
        <v>829</v>
      </c>
    </row>
    <row r="24" customFormat="false" ht="21.75" hidden="false" customHeight="true" outlineLevel="0" collapsed="false">
      <c r="A24" s="33" t="s">
        <v>278</v>
      </c>
      <c r="B24" s="19" t="s">
        <v>191</v>
      </c>
      <c r="C24" s="19" t="s">
        <v>830</v>
      </c>
      <c r="D24" s="19" t="s">
        <v>615</v>
      </c>
      <c r="E24" s="19" t="s">
        <v>37</v>
      </c>
      <c r="F24" s="19" t="s">
        <v>831</v>
      </c>
    </row>
    <row r="25" customFormat="false" ht="21.75" hidden="false" customHeight="true" outlineLevel="0" collapsed="false">
      <c r="A25" s="32" t="s">
        <v>248</v>
      </c>
      <c r="B25" s="22" t="s">
        <v>191</v>
      </c>
      <c r="C25" s="22" t="s">
        <v>832</v>
      </c>
      <c r="D25" s="22" t="s">
        <v>833</v>
      </c>
      <c r="E25" s="22" t="s">
        <v>834</v>
      </c>
      <c r="F25" s="22" t="s">
        <v>835</v>
      </c>
    </row>
    <row r="26" customFormat="false" ht="21.75" hidden="false" customHeight="true" outlineLevel="0" collapsed="false">
      <c r="A26" s="33" t="s">
        <v>244</v>
      </c>
      <c r="B26" s="19" t="s">
        <v>191</v>
      </c>
      <c r="C26" s="19" t="s">
        <v>832</v>
      </c>
      <c r="D26" s="19" t="s">
        <v>833</v>
      </c>
      <c r="E26" s="19" t="s">
        <v>834</v>
      </c>
      <c r="F26" s="19" t="s">
        <v>835</v>
      </c>
    </row>
    <row r="27" customFormat="false" ht="21.75" hidden="false" customHeight="true" outlineLevel="0" collapsed="false">
      <c r="A27" s="32" t="s">
        <v>240</v>
      </c>
      <c r="B27" s="22" t="s">
        <v>191</v>
      </c>
      <c r="C27" s="22" t="s">
        <v>836</v>
      </c>
      <c r="D27" s="22" t="s">
        <v>833</v>
      </c>
      <c r="E27" s="22" t="s">
        <v>834</v>
      </c>
      <c r="F27" s="22" t="s">
        <v>837</v>
      </c>
    </row>
    <row r="28" customFormat="false" ht="21.75" hidden="false" customHeight="true" outlineLevel="0" collapsed="false">
      <c r="A28" s="33" t="s">
        <v>236</v>
      </c>
      <c r="B28" s="19" t="s">
        <v>191</v>
      </c>
      <c r="C28" s="19" t="s">
        <v>838</v>
      </c>
      <c r="D28" s="19" t="s">
        <v>833</v>
      </c>
      <c r="E28" s="19" t="s">
        <v>834</v>
      </c>
      <c r="F28" s="19" t="s">
        <v>839</v>
      </c>
    </row>
    <row r="29" customFormat="false" ht="21.75" hidden="false" customHeight="true" outlineLevel="0" collapsed="false">
      <c r="A29" s="32" t="s">
        <v>529</v>
      </c>
      <c r="B29" s="22" t="s">
        <v>529</v>
      </c>
      <c r="C29" s="22" t="s">
        <v>840</v>
      </c>
      <c r="D29" s="22" t="s">
        <v>841</v>
      </c>
      <c r="E29" s="22" t="s">
        <v>841</v>
      </c>
      <c r="F29" s="22" t="s">
        <v>842</v>
      </c>
    </row>
    <row r="30" customFormat="false" ht="21.75" hidden="false" customHeight="true" outlineLevel="0" collapsed="false">
      <c r="A30" s="33" t="s">
        <v>357</v>
      </c>
      <c r="B30" s="19" t="s">
        <v>191</v>
      </c>
      <c r="C30" s="19" t="s">
        <v>687</v>
      </c>
      <c r="D30" s="19" t="s">
        <v>843</v>
      </c>
      <c r="E30" s="19" t="s">
        <v>844</v>
      </c>
      <c r="F30" s="19" t="s">
        <v>845</v>
      </c>
    </row>
    <row r="31" customFormat="false" ht="21.75" hidden="false" customHeight="true" outlineLevel="0" collapsed="false">
      <c r="A31" s="32" t="s">
        <v>846</v>
      </c>
      <c r="B31" s="22" t="s">
        <v>217</v>
      </c>
      <c r="C31" s="22" t="s">
        <v>847</v>
      </c>
      <c r="D31" s="22" t="s">
        <v>843</v>
      </c>
      <c r="E31" s="22" t="s">
        <v>848</v>
      </c>
      <c r="F31" s="22" t="s">
        <v>849</v>
      </c>
    </row>
    <row r="32" customFormat="false" ht="21.75" hidden="false" customHeight="true" outlineLevel="0" collapsed="false">
      <c r="A32" s="33" t="s">
        <v>850</v>
      </c>
      <c r="B32" s="19" t="s">
        <v>217</v>
      </c>
      <c r="C32" s="19" t="s">
        <v>851</v>
      </c>
      <c r="D32" s="19" t="s">
        <v>393</v>
      </c>
      <c r="E32" s="19" t="s">
        <v>668</v>
      </c>
      <c r="F32" s="19" t="s">
        <v>852</v>
      </c>
    </row>
    <row r="33" customFormat="false" ht="21.75" hidden="false" customHeight="true" outlineLevel="0" collapsed="false">
      <c r="A33" s="32" t="s">
        <v>357</v>
      </c>
      <c r="B33" s="34" t="s">
        <v>191</v>
      </c>
      <c r="C33" s="34" t="s">
        <v>687</v>
      </c>
      <c r="D33" s="34" t="s">
        <v>853</v>
      </c>
      <c r="E33" s="34" t="s">
        <v>854</v>
      </c>
      <c r="F33" s="34" t="s">
        <v>855</v>
      </c>
    </row>
    <row r="34" customFormat="false" ht="21.75" hidden="false" customHeight="true" outlineLevel="0" collapsed="false">
      <c r="A34" s="33" t="s">
        <v>395</v>
      </c>
      <c r="B34" s="35" t="s">
        <v>217</v>
      </c>
      <c r="C34" s="35" t="s">
        <v>856</v>
      </c>
      <c r="D34" s="35" t="s">
        <v>857</v>
      </c>
      <c r="E34" s="35" t="s">
        <v>858</v>
      </c>
      <c r="F34" s="35" t="s">
        <v>859</v>
      </c>
    </row>
    <row r="35" customFormat="false" ht="21.75" hidden="false" customHeight="true" outlineLevel="0" collapsed="false">
      <c r="A35" s="32" t="s">
        <v>846</v>
      </c>
      <c r="B35" s="34" t="s">
        <v>217</v>
      </c>
      <c r="C35" s="34" t="s">
        <v>847</v>
      </c>
      <c r="D35" s="34" t="s">
        <v>860</v>
      </c>
      <c r="E35" s="34" t="s">
        <v>861</v>
      </c>
      <c r="F35" s="34" t="s">
        <v>849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2026-03-16T21:45:26Z</dcterms:created>
  <dc:creator>openpyxl</dc:creator>
  <dc:description/>
  <dc:language>en-US</dc:language>
  <cp:lastModifiedBy>Raju G Sayyaparaju</cp:lastModifiedBy>
  <dcterms:modified xsi:type="dcterms:W3CDTF">2026-03-17T15:45:50Z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