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sayyapa/Downloads/"/>
    </mc:Choice>
  </mc:AlternateContent>
  <xr:revisionPtr revIDLastSave="0" documentId="13_ncr:1_{36A998CA-50E2-4248-88E1-4F861DBF277E}" xr6:coauthVersionLast="47" xr6:coauthVersionMax="47" xr10:uidLastSave="{00000000-0000-0000-0000-000000000000}"/>
  <bookViews>
    <workbookView xWindow="-19460" yWindow="-21000" windowWidth="25540" windowHeight="21000" xr2:uid="{00000000-000D-0000-FFFF-FFFF00000000}"/>
  </bookViews>
  <sheets>
    <sheet name="IP Input Sheet" sheetId="1" r:id="rId1"/>
    <sheet name=" Fleet → Mgmt+WLD" sheetId="2" r:id="rId2"/>
    <sheet name="Mgmt+WLD → Fleet" sheetId="3" r:id="rId3"/>
    <sheet name="Fleet → External" sheetId="4" r:id="rId4"/>
    <sheet name=" Route Table" sheetId="5" r:id="rId5"/>
    <sheet name="Por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F18" i="4"/>
  <c r="D18" i="4"/>
  <c r="F17" i="4"/>
  <c r="D17" i="4"/>
  <c r="F16" i="4"/>
  <c r="D16" i="4"/>
  <c r="F15" i="4"/>
  <c r="D15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</calcChain>
</file>

<file path=xl/sharedStrings.xml><?xml version="1.0" encoding="utf-8"?>
<sst xmlns="http://schemas.openxmlformats.org/spreadsheetml/2006/main" count="1365" uniqueCount="595">
  <si>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</si>
  <si>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</si>
  <si>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</si>
  <si>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</si>
  <si>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</si>
  <si>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</si>
  <si>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</si>
  <si>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</si>
  <si>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F1</t>
  </si>
  <si>
    <t>VCF Operations Fleet Manager</t>
  </si>
  <si>
    <t>FLEET_MGR</t>
  </si>
  <si>
    <t>F2</t>
  </si>
  <si>
    <t>VCF Operations (VCFO)</t>
  </si>
  <si>
    <t>VCFO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</si>
  <si>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</si>
  <si>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</si>
  <si>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</si>
  <si>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</si>
  <si>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</si>
  <si>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</si>
  <si>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</si>
  <si>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</si>
  <si>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</si>
  <si>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</si>
  <si>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</si>
  <si>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</si>
  <si>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F7</t>
  </si>
  <si>
    <t>Fleet Overlay Subnet (overall)</t>
  </si>
  <si>
    <t>FLEET_SUBNET</t>
  </si>
  <si>
    <t>🔷  MANAGEMENT DOMAIN COMPONENTS  (VLAN 2600 per AZ)</t>
  </si>
  <si>
    <t>M1</t>
  </si>
  <si>
    <t>vCenter Server</t>
  </si>
  <si>
    <t>VCENTER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</si>
  <si>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</si>
  <si>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</si>
  <si>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</si>
  <si>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</si>
  <si>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</si>
  <si>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</si>
  <si>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</si>
  <si>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</si>
  <si>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</si>
  <si>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M5</t>
  </si>
  <si>
    <t>VCF Operations Collector</t>
  </si>
  <si>
    <t>VCFO_COLL</t>
  </si>
  <si>
    <t>M6</t>
  </si>
  <si>
    <t>ESXi Mgmt Subnet — Mgmt Domain</t>
  </si>
  <si>
    <t>ESXI_MGMT_MD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</si>
  <si>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</si>
  <si>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</si>
  <si>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</si>
  <si>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</si>
  <si>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</si>
  <si>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</si>
  <si>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</si>
  <si>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</si>
  <si>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</si>
  <si>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</si>
  <si>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🔷  EXTERNAL SERVICES  (shared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</si>
  <si>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</si>
  <si>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</si>
  <si>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</si>
  <si>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</si>
  <si>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</si>
  <si>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</si>
  <si>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</si>
  <si>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</si>
  <si>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</si>
  <si>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</si>
  <si>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</si>
  <si>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</si>
  <si>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</si>
  <si>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</si>
  <si>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</si>
  <si>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</si>
  <si>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</si>
  <si>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</si>
  <si>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</si>
  <si>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</si>
  <si>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</si>
  <si>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</si>
  <si>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</si>
  <si>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</si>
  <si>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</si>
  <si>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</si>
  <si>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</si>
  <si>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</si>
  <si>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</si>
  <si>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</si>
  <si>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</si>
  <si>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</si>
  <si>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</si>
  <si>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</si>
  <si>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</si>
  <si>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</si>
  <si>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</si>
  <si>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</si>
  <si>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</si>
  <si>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</si>
  <si>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</si>
  <si>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</si>
  <si>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</si>
  <si>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</si>
  <si>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</si>
  <si>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</si>
  <si>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</si>
  <si>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</si>
  <si>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</si>
  <si>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</si>
  <si>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</si>
  <si>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</si>
  <si>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</si>
  <si>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</si>
  <si>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</si>
  <si>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</si>
  <si>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</si>
  <si>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</si>
  <si>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</si>
  <si>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</si>
  <si>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</si>
  <si>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</si>
  <si>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</si>
  <si>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</si>
  <si>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</si>
  <si>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</si>
  <si>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</si>
  <si>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</si>
  <si>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</si>
  <si>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</si>
  <si>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</si>
  <si>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</si>
  <si>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</si>
  <si>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</si>
  <si>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</si>
  <si>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</si>
  <si>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</si>
  <si>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</si>
  <si>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</si>
  <si>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</si>
  <si>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</si>
  <si>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</si>
  <si>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</si>
  <si>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</si>
  <si>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</si>
  <si>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</si>
  <si>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</si>
  <si>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</si>
  <si>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</si>
  <si>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</si>
  <si>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</si>
  <si>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</si>
  <si>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</si>
  <si>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</si>
  <si>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</si>
  <si>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</si>
  <si>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</si>
  <si>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</si>
  <si>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</si>
  <si>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</si>
  <si>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</si>
  <si>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</si>
  <si>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</si>
  <si>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</si>
  <si>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</si>
  <si>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</si>
  <si>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</si>
  <si>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</si>
  <si>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</si>
  <si>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</si>
  <si>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</si>
  <si>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</si>
  <si>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</si>
  <si>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</si>
  <si>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</si>
  <si>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</si>
  <si>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</si>
  <si>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</si>
  <si>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</si>
  <si>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</si>
  <si>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</si>
  <si>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</si>
  <si>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</si>
  <si>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</si>
  <si>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</si>
  <si>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</si>
  <si>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</si>
  <si>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</si>
  <si>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</si>
  <si>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</si>
  <si>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</si>
  <si>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</si>
  <si>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</si>
  <si>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</si>
  <si>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</si>
  <si>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</si>
  <si>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</si>
  <si>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</si>
  <si>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</si>
  <si>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</si>
  <si>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</si>
  <si>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</si>
  <si>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</si>
  <si>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</si>
  <si>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</si>
  <si>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</si>
  <si>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</si>
  <si>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</si>
  <si>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</si>
  <si>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</si>
  <si>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</si>
  <si>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</si>
  <si>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</si>
  <si>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</si>
  <si>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</si>
  <si>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</si>
  <si>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</si>
  <si>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</si>
  <si>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</si>
  <si>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</si>
  <si>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</si>
  <si>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</si>
  <si>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</si>
  <si>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</si>
  <si>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</si>
  <si>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</si>
  <si>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</si>
  <si>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</si>
  <si>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</si>
  <si>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</si>
  <si>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</si>
  <si>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</si>
  <si>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</si>
  <si>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</si>
  <si>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</si>
  <si>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</si>
  <si>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</si>
  <si>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</si>
  <si>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</si>
  <si>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</si>
  <si>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</si>
  <si>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</si>
  <si>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</si>
  <si>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</si>
  <si>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[Enter IP]</t>
  </si>
  <si>
    <t>161</t>
  </si>
  <si>
    <t>SNMP Polling</t>
  </si>
  <si>
    <t>Confirm physical device IPs with network team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</si>
  <si>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</si>
  <si>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</si>
  <si>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</si>
  <si>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</si>
  <si>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</si>
  <si>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</si>
  <si>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</si>
  <si>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</si>
  <si>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</si>
  <si>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</si>
  <si>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</si>
  <si>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</si>
  <si>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</si>
  <si>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</si>
  <si>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</si>
  <si>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</si>
  <si>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</si>
  <si>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</si>
  <si>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</si>
  <si>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</si>
  <si>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</si>
  <si>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</si>
  <si>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</si>
  <si>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</si>
  <si>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</si>
  <si>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</si>
  <si>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</si>
  <si>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</si>
  <si>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</si>
  <si>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</si>
  <si>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</si>
  <si>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</si>
  <si>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</si>
  <si>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</si>
  <si>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</si>
  <si>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</si>
  <si>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</si>
  <si>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</si>
  <si>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</si>
  <si>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</si>
  <si>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</si>
  <si>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</si>
  <si>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</si>
  <si>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</si>
  <si>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</si>
  <si>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</si>
  <si>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</si>
  <si>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</si>
  <si>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</si>
  <si>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</si>
  <si>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</si>
  <si>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</si>
  <si>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</si>
  <si>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</si>
  <si>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</si>
  <si>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</si>
  <si>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</si>
  <si>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</si>
  <si>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</si>
  <si>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</si>
  <si>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</si>
  <si>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</si>
  <si>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</si>
  <si>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</si>
  <si>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</si>
  <si>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</si>
  <si>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</si>
  <si>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</si>
  <si>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</si>
  <si>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</si>
  <si>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</si>
  <si>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</si>
  <si>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</si>
  <si>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</si>
  <si>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</si>
  <si>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</si>
  <si>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</si>
  <si>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</si>
  <si>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</si>
  <si>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</si>
  <si>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</si>
  <si>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</si>
  <si>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</si>
  <si>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</si>
  <si>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</si>
  <si>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</si>
  <si>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</si>
  <si>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</si>
  <si>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</si>
  <si>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</si>
  <si>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</si>
  <si>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ESXi Hosts (Mgmt Domain)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</si>
  <si>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</si>
  <si>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</si>
  <si>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</si>
  <si>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</si>
  <si>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</si>
  <si>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</si>
  <si>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</si>
  <si>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[All Mgmt IPs]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</si>
  <si>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</si>
  <si>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</si>
  <si>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</si>
  <si>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</si>
  <si>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</si>
  <si>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</si>
  <si>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</si>
  <si>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</si>
  <si>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</si>
  <si>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Time sync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</si>
  <si>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</si>
  <si>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</si>
  <si>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</si>
  <si>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</si>
  <si>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</si>
  <si>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</si>
  <si>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</si>
  <si>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</si>
  <si>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</si>
  <si>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</si>
  <si>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</si>
  <si>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</si>
  <si>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</si>
  <si>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</si>
  <si>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</si>
  <si>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</si>
  <si>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</si>
  <si>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</si>
  <si>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</si>
  <si>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</si>
  <si>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</si>
  <si>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</si>
  <si>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</si>
  <si>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</si>
  <si>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</si>
  <si>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</si>
  <si>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</si>
  <si>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[External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</si>
  <si>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</si>
  <si>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</si>
  <si>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</si>
  <si>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</si>
  <si>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</si>
  <si>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</si>
  <si>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</si>
  <si>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</si>
  <si>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</si>
  <si>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</si>
  <si>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</si>
  <si>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</si>
  <si>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</si>
  <si>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</si>
  <si>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</si>
  <si>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</si>
  <si>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</si>
  <si>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</si>
  <si>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</si>
  <si>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</si>
  <si>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</si>
  <si>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</si>
  <si>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</si>
  <si>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</si>
  <si>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</si>
  <si>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</si>
  <si>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</si>
  <si>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</si>
  <si>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</si>
  <si>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</si>
  <si>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</si>
  <si>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</si>
  <si>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</si>
  <si>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</si>
  <si>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</si>
  <si>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</si>
  <si>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</si>
  <si>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</si>
  <si>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</si>
  <si>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</si>
  <si>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</si>
  <si>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</si>
  <si>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</si>
  <si>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</si>
  <si>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</si>
  <si>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</si>
  <si>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</si>
  <si>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</si>
  <si>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</si>
  <si>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</si>
  <si>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</si>
  <si>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</si>
  <si>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</si>
  <si>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</si>
  <si>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</si>
  <si>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</si>
  <si>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</si>
  <si>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</si>
  <si>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</si>
  <si>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</si>
  <si>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</si>
  <si>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</si>
  <si>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</si>
  <si>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</si>
  <si>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</si>
  <si>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</si>
  <si>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</si>
  <si>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</si>
  <si>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</si>
  <si>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</si>
  <si>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</si>
  <si>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</si>
  <si>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</si>
  <si>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</si>
  <si>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</si>
  <si>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</si>
  <si>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</si>
  <si>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</si>
  <si>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</si>
  <si>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</si>
  <si>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</si>
  <si>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</si>
  <si>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</si>
  <si>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</si>
  <si>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</si>
  <si>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</si>
  <si>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</si>
  <si>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</si>
  <si>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</si>
  <si>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</si>
  <si>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</si>
  <si>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</si>
  <si>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</si>
  <si>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</si>
  <si>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</si>
  <si>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</si>
  <si>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</si>
  <si>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NSX Edge TEP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</si>
  <si>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</si>
  <si>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</si>
  <si>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</si>
  <si>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</si>
  <si>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</si>
  <si>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</si>
  <si>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</si>
  <si>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</si>
  <si>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</si>
  <si>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</si>
  <si>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</si>
  <si>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</si>
  <si>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</si>
  <si>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</si>
  <si>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</si>
  <si>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</si>
  <si>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</si>
  <si>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</si>
  <si>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</si>
  <si>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</si>
  <si>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</si>
  <si>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</si>
  <si>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</si>
  <si>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</si>
  <si>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</si>
  <si>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</si>
  <si>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</si>
  <si>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</si>
  <si>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</si>
  <si>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</si>
  <si>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</si>
  <si>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</si>
  <si>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</si>
  <si>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</si>
  <si>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</si>
  <si>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</si>
  <si>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</si>
  <si>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</si>
  <si>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</si>
  <si>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</si>
  <si>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</si>
  <si>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</si>
  <si>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 most component comms</t>
  </si>
  <si>
    <t>Syslog</t>
  </si>
  <si>
    <t>vCenter, NSX, SDDC, ESXi, VCFA</t>
  </si>
  <si>
    <t>Remote syslog  all components log to VOL</t>
  </si>
  <si>
    <t>LDAPS</t>
  </si>
  <si>
    <t>Heartbeat / VMRC</t>
  </si>
  <si>
    <t>vCenter, VCF Automation</t>
  </si>
  <si>
    <t>ESXi Hosts</t>
  </si>
  <si>
    <t>Core mgmt comms vCenter↔ESXi + VM console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</si>
  <si>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</si>
  <si>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</si>
  <si>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</si>
  <si>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</si>
  <si>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</si>
  <si>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</si>
  <si>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</si>
  <si>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</si>
  <si>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</si>
  <si>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</si>
  <si>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</si>
  <si>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</si>
  <si>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</si>
  <si>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</si>
  <si>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</si>
  <si>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</si>
  <si>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</si>
  <si>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</si>
  <si>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</si>
  <si>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</si>
  <si>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</si>
  <si>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</si>
  <si>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</si>
  <si>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</si>
  <si>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</si>
  <si>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</si>
  <si>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</si>
  <si>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</si>
  <si>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</si>
  <si>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</si>
  <si>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</si>
  <si>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</si>
  <si>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</si>
  <si>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</si>
  <si>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</si>
  <si>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</si>
  <si>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</si>
  <si>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</si>
  <si>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</si>
  <si>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</si>
  <si>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</si>
  <si>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</si>
  <si>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</si>
  <si>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</si>
  <si>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</si>
  <si>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10.5.25.64/26</t>
  </si>
  <si>
    <t>10.3.118.28</t>
  </si>
  <si>
    <t>10.3.118.0/24</t>
  </si>
  <si>
    <t>10.5.59.0/24</t>
  </si>
  <si>
    <t>10.5.58.0/24</t>
  </si>
  <si>
    <t>10.3.118.35</t>
  </si>
  <si>
    <t>10.3.118.18</t>
  </si>
  <si>
    <t>10.3.118.30</t>
  </si>
  <si>
    <t>10.5.59.28</t>
  </si>
  <si>
    <t>10.5.59.30</t>
  </si>
  <si>
    <t>10.5.59.35</t>
  </si>
  <si>
    <t>M7</t>
  </si>
  <si>
    <t>VCF OPS for Network Collector</t>
  </si>
  <si>
    <t>10.3.118.101</t>
  </si>
  <si>
    <t>??</t>
  </si>
  <si>
    <t>Edge nodes uplinks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</si>
</sst>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i/>
      <sz val="9"/>
      <color rgb="FF7F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7F6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9"/>
      <color rgb="FF375623"/>
      <name val="Arial"/>
      <family val="2"/>
    </font>
    <font>
      <b/>
      <sz val="9"/>
      <color rgb="FF1F38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/>
    <xf numFmtId="0" fontId="8" fillId="7" borderId="4" xfId="0" applyFont="1" applyFill="1" applyBorder="1" applyAlignment="1">
      <alignment horizontal="center" vertical="center" wrapText="1"/>
    </xf>
    <xf numFmtId="0" fontId="9" fillId="0" borderId="0" xfId="0" applyFont="1"/>
    <xf numFmtId="0" fontId="6" fillId="6" borderId="5" xfId="0" applyFont="1" applyFill="1" applyBorder="1"/>
    <xf numFmtId="0" fontId="10" fillId="7" borderId="5" xfId="0" applyFont="1" applyFill="1" applyBorder="1"/>
    <xf numFmtId="0" fontId="6" fillId="7" borderId="4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0" fillId="12" borderId="0" xfId="0" applyFill="1"/>
    <xf numFmtId="0" fontId="8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00"/>
  <sheetViews>
    <sheetView tabSelected="1" zoomScale="170" zoomScaleNormal="1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6" sqref="D6:D9"/>
    </sheetView>
  </sheetViews>
  <sheetFormatPr baseColWidth="10" defaultColWidth="14.5" defaultRowHeight="15" customHeight="1" x14ac:dyDescent="0.2"/>
  <cols>
    <col min="1" max="1" width="5" customWidth="1"/>
    <col min="2" max="2" width="38" customWidth="1"/>
    <col min="3" max="6" width="22" customWidth="1"/>
    <col min="7" max="26" width="8.6640625" customWidth="1"/>
  </cols>
  <sheetData>
    <row r="1" spans="1:6" ht="31.5" customHeight="1" x14ac:dyDescent="0.2">
      <c r="A1" s="16" t="s">
        <v>0</v>
      </c>
      <c r="B1" s="17"/>
      <c r="C1" s="17"/>
      <c r="D1" s="17"/>
      <c r="E1" s="17"/>
      <c r="F1" s="18"/>
    </row>
    <row r="2" spans="1:6" ht="19.5" customHeight="1" x14ac:dyDescent="0.2">
      <c r="A2" s="19" t="s">
        <v>1</v>
      </c>
      <c r="B2" s="17"/>
      <c r="C2" s="17"/>
      <c r="D2" s="17"/>
      <c r="E2" s="17"/>
      <c r="F2" s="18"/>
    </row>
    <row r="3" spans="1:6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1.75" customHeight="1" x14ac:dyDescent="0.2">
      <c r="A4" s="20"/>
      <c r="B4" s="17"/>
      <c r="C4" s="17"/>
      <c r="D4" s="17"/>
      <c r="E4" s="17"/>
      <c r="F4" s="18"/>
    </row>
    <row r="5" spans="1:6" ht="18" customHeight="1" x14ac:dyDescent="0.2">
      <c r="A5" s="2" t="s">
        <v>8</v>
      </c>
      <c r="B5" s="2" t="s">
        <v>9</v>
      </c>
      <c r="C5" s="2" t="s">
        <v>10</v>
      </c>
      <c r="D5" s="3" t="s">
        <v>580</v>
      </c>
      <c r="E5" s="3" t="s">
        <v>587</v>
      </c>
      <c r="F5" s="3"/>
    </row>
    <row r="6" spans="1:6" ht="18" customHeight="1" x14ac:dyDescent="0.2">
      <c r="A6" s="2" t="s">
        <v>11</v>
      </c>
      <c r="B6" s="2" t="s">
        <v>12</v>
      </c>
      <c r="C6" s="2" t="s">
        <v>13</v>
      </c>
      <c r="D6" s="3" t="s">
        <v>579</v>
      </c>
      <c r="E6" s="3"/>
      <c r="F6" s="3"/>
    </row>
    <row r="7" spans="1:6" ht="18" customHeight="1" x14ac:dyDescent="0.2">
      <c r="A7" s="2" t="s">
        <v>14</v>
      </c>
      <c r="B7" s="2" t="s">
        <v>15</v>
      </c>
      <c r="C7" s="2" t="s">
        <v>16</v>
      </c>
      <c r="D7" s="3" t="s">
        <v>579</v>
      </c>
      <c r="E7" s="3"/>
      <c r="F7" s="3"/>
    </row>
    <row r="8" spans="1:6" ht="18" customHeight="1" x14ac:dyDescent="0.2">
      <c r="A8" s="2" t="s">
        <v>17</v>
      </c>
      <c r="B8" s="2" t="s">
        <v>18</v>
      </c>
      <c r="C8" s="2" t="s">
        <v>19</v>
      </c>
      <c r="D8" s="3" t="s">
        <v>579</v>
      </c>
      <c r="E8" s="3"/>
      <c r="F8" s="3"/>
    </row>
    <row r="9" spans="1:6" ht="18" customHeight="1" x14ac:dyDescent="0.2">
      <c r="A9" s="2" t="s">
        <v>20</v>
      </c>
      <c r="B9" s="2" t="s">
        <v>21</v>
      </c>
      <c r="C9" s="2" t="s">
        <v>22</v>
      </c>
      <c r="D9" s="3" t="s">
        <v>579</v>
      </c>
      <c r="E9" s="3"/>
      <c r="F9" s="3"/>
    </row>
    <row r="10" spans="1:6" ht="18" customHeight="1" x14ac:dyDescent="0.2">
      <c r="A10" s="2" t="s">
        <v>23</v>
      </c>
      <c r="B10" s="2" t="s">
        <v>24</v>
      </c>
      <c r="C10" s="2" t="s">
        <v>25</v>
      </c>
      <c r="D10" s="3" t="s">
        <v>581</v>
      </c>
      <c r="E10" s="3" t="s">
        <v>582</v>
      </c>
      <c r="F10" s="3"/>
    </row>
    <row r="11" spans="1:6" ht="18" customHeight="1" x14ac:dyDescent="0.2">
      <c r="A11" s="2" t="s">
        <v>26</v>
      </c>
      <c r="B11" s="2" t="s">
        <v>27</v>
      </c>
      <c r="C11" s="2" t="s">
        <v>28</v>
      </c>
      <c r="D11" s="3" t="s">
        <v>579</v>
      </c>
      <c r="E11" s="3" t="s">
        <v>579</v>
      </c>
      <c r="F11" s="3"/>
    </row>
    <row r="12" spans="1:6" ht="21.75" customHeight="1" x14ac:dyDescent="0.2">
      <c r="A12" s="20" t="s">
        <v>29</v>
      </c>
      <c r="B12" s="17"/>
      <c r="C12" s="17"/>
      <c r="D12" s="17"/>
      <c r="E12" s="17"/>
      <c r="F12" s="18"/>
    </row>
    <row r="13" spans="1:6" ht="18" customHeight="1" x14ac:dyDescent="0.2">
      <c r="A13" s="2" t="s">
        <v>30</v>
      </c>
      <c r="B13" s="2" t="s">
        <v>31</v>
      </c>
      <c r="C13" s="2" t="s">
        <v>32</v>
      </c>
      <c r="D13" s="3" t="s">
        <v>585</v>
      </c>
      <c r="E13" s="3" t="s">
        <v>593</v>
      </c>
      <c r="F13" s="3"/>
    </row>
    <row r="14" spans="1:6" ht="18" customHeight="1" x14ac:dyDescent="0.2">
      <c r="A14" s="2" t="s">
        <v>33</v>
      </c>
      <c r="B14" s="2" t="s">
        <v>34</v>
      </c>
      <c r="C14" s="2" t="s">
        <v>35</v>
      </c>
      <c r="D14" s="3" t="s">
        <v>581</v>
      </c>
      <c r="E14" s="3" t="s">
        <v>582</v>
      </c>
      <c r="F14" s="3"/>
    </row>
    <row r="15" spans="1:6" ht="18" customHeight="1" x14ac:dyDescent="0.2">
      <c r="A15" s="2" t="s">
        <v>36</v>
      </c>
      <c r="B15" s="2" t="s">
        <v>37</v>
      </c>
      <c r="C15" s="2" t="s">
        <v>38</v>
      </c>
      <c r="D15" s="3" t="s">
        <v>581</v>
      </c>
      <c r="E15" s="3" t="s">
        <v>582</v>
      </c>
      <c r="F15" s="3"/>
    </row>
    <row r="16" spans="1:6" ht="18" customHeight="1" x14ac:dyDescent="0.2">
      <c r="A16" s="2" t="s">
        <v>39</v>
      </c>
      <c r="B16" s="2" t="s">
        <v>40</v>
      </c>
      <c r="C16" s="2" t="s">
        <v>41</v>
      </c>
      <c r="D16" s="3" t="s">
        <v>586</v>
      </c>
      <c r="E16" s="3" t="s">
        <v>588</v>
      </c>
      <c r="F16" s="3"/>
    </row>
    <row r="17" spans="1:6" ht="18" customHeight="1" x14ac:dyDescent="0.2">
      <c r="A17" s="2" t="s">
        <v>42</v>
      </c>
      <c r="B17" s="2" t="s">
        <v>43</v>
      </c>
      <c r="C17" s="2" t="s">
        <v>44</v>
      </c>
      <c r="D17" s="3" t="s">
        <v>584</v>
      </c>
      <c r="E17" s="3" t="s">
        <v>589</v>
      </c>
      <c r="F17" s="3"/>
    </row>
    <row r="18" spans="1:6" ht="18" customHeight="1" x14ac:dyDescent="0.2">
      <c r="A18" s="2" t="s">
        <v>45</v>
      </c>
      <c r="B18" s="2" t="s">
        <v>46</v>
      </c>
      <c r="C18" s="2" t="s">
        <v>47</v>
      </c>
      <c r="D18" s="3" t="s">
        <v>581</v>
      </c>
      <c r="E18" s="3" t="s">
        <v>582</v>
      </c>
      <c r="F18" s="3" t="s">
        <v>583</v>
      </c>
    </row>
    <row r="19" spans="1:6" ht="21.75" customHeight="1" x14ac:dyDescent="0.2">
      <c r="A19" s="20" t="s">
        <v>48</v>
      </c>
      <c r="B19" s="17"/>
      <c r="C19" s="17"/>
      <c r="D19" s="17"/>
      <c r="E19" s="17"/>
      <c r="F19" s="18"/>
    </row>
    <row r="20" spans="1:6" ht="18" customHeight="1" x14ac:dyDescent="0.2">
      <c r="A20" s="2" t="s">
        <v>49</v>
      </c>
      <c r="B20" s="2" t="s">
        <v>50</v>
      </c>
      <c r="C20" s="2" t="s">
        <v>51</v>
      </c>
      <c r="D20" s="3" t="s">
        <v>581</v>
      </c>
      <c r="E20" s="3"/>
      <c r="F20" s="3"/>
    </row>
    <row r="21" spans="1:6" ht="18" customHeight="1" x14ac:dyDescent="0.2">
      <c r="A21" s="2" t="s">
        <v>52</v>
      </c>
      <c r="B21" s="2" t="s">
        <v>53</v>
      </c>
      <c r="C21" s="2" t="s">
        <v>54</v>
      </c>
      <c r="D21" s="3"/>
      <c r="E21" s="3"/>
      <c r="F21" s="3"/>
    </row>
    <row r="22" spans="1:6" ht="18" customHeight="1" x14ac:dyDescent="0.2">
      <c r="A22" s="2" t="s">
        <v>55</v>
      </c>
      <c r="B22" s="2" t="s">
        <v>56</v>
      </c>
      <c r="C22" s="2" t="s">
        <v>57</v>
      </c>
      <c r="D22" s="3"/>
      <c r="E22" s="3"/>
      <c r="F22" s="3"/>
    </row>
    <row r="23" spans="1:6" ht="21.75" customHeight="1" x14ac:dyDescent="0.2">
      <c r="A23" s="20" t="s">
        <v>58</v>
      </c>
      <c r="B23" s="17"/>
      <c r="C23" s="17"/>
      <c r="D23" s="17"/>
      <c r="E23" s="17"/>
      <c r="F23" s="18"/>
    </row>
    <row r="24" spans="1:6" ht="18" customHeight="1" x14ac:dyDescent="0.2">
      <c r="A24" s="2" t="s">
        <v>59</v>
      </c>
      <c r="B24" s="2" t="s">
        <v>60</v>
      </c>
      <c r="C24" s="2" t="s">
        <v>61</v>
      </c>
      <c r="D24" s="3"/>
      <c r="E24" s="4" t="s">
        <v>62</v>
      </c>
      <c r="F24" s="4" t="s">
        <v>62</v>
      </c>
    </row>
    <row r="25" spans="1:6" ht="18" customHeight="1" x14ac:dyDescent="0.2">
      <c r="A25" s="2" t="s">
        <v>63</v>
      </c>
      <c r="B25" s="2" t="s">
        <v>64</v>
      </c>
      <c r="C25" s="2" t="s">
        <v>65</v>
      </c>
      <c r="D25" s="3"/>
      <c r="E25" s="4" t="s">
        <v>62</v>
      </c>
      <c r="F25" s="4" t="s">
        <v>62</v>
      </c>
    </row>
    <row r="26" spans="1:6" ht="18" customHeight="1" x14ac:dyDescent="0.2">
      <c r="A26" s="2" t="s">
        <v>66</v>
      </c>
      <c r="B26" s="2" t="s">
        <v>67</v>
      </c>
      <c r="C26" s="2" t="s">
        <v>68</v>
      </c>
      <c r="D26" s="3"/>
      <c r="E26" s="4" t="s">
        <v>62</v>
      </c>
      <c r="F26" s="4" t="s">
        <v>62</v>
      </c>
    </row>
    <row r="27" spans="1:6" ht="18" customHeight="1" x14ac:dyDescent="0.2">
      <c r="A27" s="2" t="s">
        <v>69</v>
      </c>
      <c r="B27" s="2" t="s">
        <v>70</v>
      </c>
      <c r="C27" s="2" t="s">
        <v>71</v>
      </c>
      <c r="D27" s="3"/>
      <c r="E27" s="4" t="s">
        <v>62</v>
      </c>
      <c r="F27" s="4" t="s">
        <v>62</v>
      </c>
    </row>
    <row r="28" spans="1:6" ht="18" customHeight="1" x14ac:dyDescent="0.2">
      <c r="A28" s="2" t="s">
        <v>72</v>
      </c>
      <c r="B28" s="2" t="s">
        <v>73</v>
      </c>
      <c r="C28" s="2" t="s">
        <v>74</v>
      </c>
      <c r="D28" s="3"/>
      <c r="E28" s="4" t="s">
        <v>62</v>
      </c>
      <c r="F28" s="4" t="s">
        <v>62</v>
      </c>
    </row>
    <row r="29" spans="1:6" ht="18" customHeight="1" x14ac:dyDescent="0.2">
      <c r="A29" s="2" t="s">
        <v>75</v>
      </c>
      <c r="B29" s="2" t="s">
        <v>76</v>
      </c>
      <c r="C29" s="2" t="s">
        <v>77</v>
      </c>
      <c r="D29" s="3"/>
      <c r="E29" s="4" t="s">
        <v>62</v>
      </c>
      <c r="F29" s="4" t="s">
        <v>62</v>
      </c>
    </row>
    <row r="30" spans="1:6" ht="15.75" customHeight="1" x14ac:dyDescent="0.2"/>
    <row r="31" spans="1:6" ht="15.75" customHeight="1" x14ac:dyDescent="0.2">
      <c r="A31" s="5" t="s">
        <v>78</v>
      </c>
      <c r="B31" s="6" t="s">
        <v>79</v>
      </c>
      <c r="C31" s="7" t="s">
        <v>80</v>
      </c>
    </row>
    <row r="32" spans="1:6" ht="15.75" customHeight="1" x14ac:dyDescent="0.2">
      <c r="A32" s="22" t="s">
        <v>590</v>
      </c>
      <c r="B32" s="22" t="s">
        <v>591</v>
      </c>
      <c r="D32" s="23" t="s">
        <v>592</v>
      </c>
      <c r="E32" s="24" t="s">
        <v>593</v>
      </c>
    </row>
    <row r="33" spans="2:2" ht="15.75" customHeight="1" x14ac:dyDescent="0.2">
      <c r="B33" s="22" t="s">
        <v>594</v>
      </c>
    </row>
    <row r="34" spans="2:2" ht="15.75" customHeight="1" x14ac:dyDescent="0.2"/>
    <row r="35" spans="2:2" ht="15.75" customHeight="1" x14ac:dyDescent="0.2"/>
    <row r="36" spans="2:2" ht="15.75" customHeight="1" x14ac:dyDescent="0.2"/>
    <row r="37" spans="2:2" ht="15.75" customHeight="1" x14ac:dyDescent="0.2"/>
    <row r="38" spans="2:2" ht="15.75" customHeight="1" x14ac:dyDescent="0.2"/>
    <row r="39" spans="2:2" ht="15.75" customHeight="1" x14ac:dyDescent="0.2"/>
    <row r="40" spans="2:2" ht="15.75" customHeight="1" x14ac:dyDescent="0.2"/>
    <row r="41" spans="2:2" ht="15.75" customHeight="1" x14ac:dyDescent="0.2"/>
    <row r="42" spans="2:2" ht="15.75" customHeight="1" x14ac:dyDescent="0.2"/>
    <row r="43" spans="2:2" ht="15.75" customHeight="1" x14ac:dyDescent="0.2"/>
    <row r="44" spans="2:2" ht="15.75" customHeight="1" x14ac:dyDescent="0.2"/>
    <row r="45" spans="2:2" ht="15.75" customHeight="1" x14ac:dyDescent="0.2"/>
    <row r="46" spans="2:2" ht="15.75" customHeight="1" x14ac:dyDescent="0.2"/>
    <row r="47" spans="2:2" ht="15.75" customHeight="1" x14ac:dyDescent="0.2"/>
    <row r="48" spans="2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3:F23"/>
    <mergeCell ref="A1:F1"/>
    <mergeCell ref="A2:F2"/>
    <mergeCell ref="A4:F4"/>
    <mergeCell ref="A12:F12"/>
    <mergeCell ref="A19:F1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1000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0" customWidth="1"/>
    <col min="10" max="10" width="8" customWidth="1"/>
    <col min="11" max="12" width="14" customWidth="1"/>
    <col min="13" max="13" width="38" customWidth="1"/>
    <col min="14" max="26" width="8.6640625" customWidth="1"/>
  </cols>
  <sheetData>
    <row r="1" spans="1:13" ht="27.75" customHeight="1" x14ac:dyDescent="0.2">
      <c r="A1" s="21" t="s">
        <v>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8" customHeight="1" x14ac:dyDescent="0.2">
      <c r="A2" s="19" t="s">
        <v>82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27.75" customHeight="1" x14ac:dyDescent="0.2">
      <c r="A3" s="1" t="s">
        <v>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</row>
    <row r="4" spans="1:13" ht="18" customHeight="1" x14ac:dyDescent="0.2">
      <c r="A4" s="8" t="s">
        <v>95</v>
      </c>
      <c r="B4" s="8" t="s">
        <v>96</v>
      </c>
      <c r="C4" s="8" t="s">
        <v>9</v>
      </c>
      <c r="D4" s="8" t="str">
        <f>IFERROR(IF('IP Input Sheet'!D5&lt;&gt;"",'IP Input Sheet'!D5,IF('IP Input Sheet'!E5&lt;&gt;"",'IP Input Sheet'!E5,'IP Input Sheet'!F5)),"[Enter IP]")</f>
        <v>10.3.118.28</v>
      </c>
      <c r="E4" s="8" t="s">
        <v>40</v>
      </c>
      <c r="F4" s="8" t="str">
        <f>IFERROR(IF('IP Input Sheet'!D16&lt;&gt;"",'IP Input Sheet'!D16,IF('IP Input Sheet'!E16&lt;&gt;"",'IP Input Sheet'!E16,'IP Input Sheet'!F16)),"[Enter IP]")</f>
        <v>10.3.118.30</v>
      </c>
      <c r="G4" s="8" t="s">
        <v>97</v>
      </c>
      <c r="H4" s="8" t="s">
        <v>98</v>
      </c>
      <c r="I4" s="8" t="s">
        <v>99</v>
      </c>
      <c r="J4" s="9" t="s">
        <v>100</v>
      </c>
      <c r="K4" s="10" t="s">
        <v>101</v>
      </c>
      <c r="L4" s="8" t="s">
        <v>102</v>
      </c>
      <c r="M4" s="8" t="s">
        <v>103</v>
      </c>
    </row>
    <row r="5" spans="1:13" ht="18" customHeight="1" x14ac:dyDescent="0.2">
      <c r="A5" s="11" t="s">
        <v>104</v>
      </c>
      <c r="B5" s="11" t="s">
        <v>105</v>
      </c>
      <c r="C5" s="11" t="s">
        <v>9</v>
      </c>
      <c r="D5" s="11" t="str">
        <f>IFERROR(IF('IP Input Sheet'!D5&lt;&gt;"",'IP Input Sheet'!D5,IF('IP Input Sheet'!E5&lt;&gt;"",'IP Input Sheet'!E5,'IP Input Sheet'!F5)),"[Enter IP]")</f>
        <v>10.3.118.28</v>
      </c>
      <c r="E5" s="11" t="s">
        <v>12</v>
      </c>
      <c r="F5" s="11" t="str">
        <f>IFERROR(IF('IP Input Sheet'!D6&lt;&gt;"",'IP Input Sheet'!D6,IF('IP Input Sheet'!E6&lt;&gt;"",'IP Input Sheet'!E6,'IP Input Sheet'!F6)),"[Enter IP]")</f>
        <v>10.5.25.64/26</v>
      </c>
      <c r="G5" s="11" t="s">
        <v>97</v>
      </c>
      <c r="H5" s="11" t="s">
        <v>98</v>
      </c>
      <c r="I5" s="11" t="s">
        <v>106</v>
      </c>
      <c r="J5" s="9" t="s">
        <v>100</v>
      </c>
      <c r="K5" s="10" t="s">
        <v>101</v>
      </c>
      <c r="L5" s="11" t="s">
        <v>102</v>
      </c>
      <c r="M5" s="11" t="s">
        <v>107</v>
      </c>
    </row>
    <row r="6" spans="1:13" ht="18" customHeight="1" x14ac:dyDescent="0.2">
      <c r="A6" s="8" t="s">
        <v>108</v>
      </c>
      <c r="B6" s="8" t="s">
        <v>109</v>
      </c>
      <c r="C6" s="8" t="s">
        <v>9</v>
      </c>
      <c r="D6" s="8" t="str">
        <f>IFERROR(IF('IP Input Sheet'!D5&lt;&gt;"",'IP Input Sheet'!D5,IF('IP Input Sheet'!E5&lt;&gt;"",'IP Input Sheet'!E5,'IP Input Sheet'!F5)),"[Enter IP]")</f>
        <v>10.3.118.28</v>
      </c>
      <c r="E6" s="8" t="s">
        <v>31</v>
      </c>
      <c r="F6" s="8" t="str">
        <f>IFERROR(IF('IP Input Sheet'!D13&lt;&gt;"",'IP Input Sheet'!D13,IF('IP Input Sheet'!E13&lt;&gt;"",'IP Input Sheet'!E13,'IP Input Sheet'!F13)),"[Enter IP]")</f>
        <v>10.3.118.18</v>
      </c>
      <c r="G6" s="8" t="s">
        <v>97</v>
      </c>
      <c r="H6" s="8" t="s">
        <v>98</v>
      </c>
      <c r="I6" s="8" t="s">
        <v>110</v>
      </c>
      <c r="J6" s="9" t="s">
        <v>100</v>
      </c>
      <c r="K6" s="10" t="s">
        <v>101</v>
      </c>
      <c r="L6" s="8" t="s">
        <v>102</v>
      </c>
      <c r="M6" s="8"/>
    </row>
    <row r="7" spans="1:13" ht="18" customHeight="1" x14ac:dyDescent="0.2">
      <c r="A7" s="11" t="s">
        <v>111</v>
      </c>
      <c r="B7" s="11" t="s">
        <v>112</v>
      </c>
      <c r="C7" s="11" t="s">
        <v>9</v>
      </c>
      <c r="D7" s="11" t="str">
        <f>IFERROR(IF('IP Input Sheet'!D5&lt;&gt;"",'IP Input Sheet'!D5,IF('IP Input Sheet'!E5&lt;&gt;"",'IP Input Sheet'!E5,'IP Input Sheet'!F5)),"[Enter IP]")</f>
        <v>10.3.118.28</v>
      </c>
      <c r="E7" s="11" t="s">
        <v>113</v>
      </c>
      <c r="F7" s="11" t="str">
        <f>IFERROR(IF('IP Input Sheet'!D14&lt;&gt;"",'IP Input Sheet'!D14,IF('IP Input Sheet'!E14&lt;&gt;"",'IP Input Sheet'!E14,'IP Input Sheet'!F14)),"[Enter IP]")</f>
        <v>10.3.118.0/24</v>
      </c>
      <c r="G7" s="11" t="s">
        <v>97</v>
      </c>
      <c r="H7" s="11" t="s">
        <v>98</v>
      </c>
      <c r="I7" s="11" t="s">
        <v>114</v>
      </c>
      <c r="J7" s="9" t="s">
        <v>100</v>
      </c>
      <c r="K7" s="10" t="s">
        <v>101</v>
      </c>
      <c r="L7" s="11" t="s">
        <v>102</v>
      </c>
      <c r="M7" s="11"/>
    </row>
    <row r="8" spans="1:13" ht="18" customHeight="1" x14ac:dyDescent="0.2">
      <c r="A8" s="8" t="s">
        <v>115</v>
      </c>
      <c r="B8" s="8" t="s">
        <v>116</v>
      </c>
      <c r="C8" s="8" t="s">
        <v>9</v>
      </c>
      <c r="D8" s="8" t="str">
        <f>IFERROR(IF('IP Input Sheet'!D5&lt;&gt;"",'IP Input Sheet'!D5,IF('IP Input Sheet'!E5&lt;&gt;"",'IP Input Sheet'!E5,'IP Input Sheet'!F5)),"[Enter IP]")</f>
        <v>10.3.118.28</v>
      </c>
      <c r="E8" s="8" t="s">
        <v>60</v>
      </c>
      <c r="F8" s="8">
        <f>'IP Input Sheet'!D24</f>
        <v>0</v>
      </c>
      <c r="G8" s="8" t="s">
        <v>117</v>
      </c>
      <c r="H8" s="8" t="s">
        <v>118</v>
      </c>
      <c r="I8" s="8" t="s">
        <v>119</v>
      </c>
      <c r="J8" s="9" t="s">
        <v>100</v>
      </c>
      <c r="K8" s="10" t="s">
        <v>101</v>
      </c>
      <c r="L8" s="8" t="s">
        <v>107</v>
      </c>
      <c r="M8" s="8" t="s">
        <v>120</v>
      </c>
    </row>
    <row r="9" spans="1:13" ht="18" customHeight="1" x14ac:dyDescent="0.2">
      <c r="A9" s="11" t="s">
        <v>121</v>
      </c>
      <c r="B9" s="11" t="s">
        <v>122</v>
      </c>
      <c r="C9" s="11" t="s">
        <v>9</v>
      </c>
      <c r="D9" s="11" t="str">
        <f>IFERROR(IF('IP Input Sheet'!D5&lt;&gt;"",'IP Input Sheet'!D5,IF('IP Input Sheet'!E5&lt;&gt;"",'IP Input Sheet'!E5,'IP Input Sheet'!F5)),"[Enter IP]")</f>
        <v>10.3.118.28</v>
      </c>
      <c r="E9" s="11" t="s">
        <v>64</v>
      </c>
      <c r="F9" s="11">
        <f>'IP Input Sheet'!D25</f>
        <v>0</v>
      </c>
      <c r="G9" s="11" t="s">
        <v>123</v>
      </c>
      <c r="H9" s="11" t="s">
        <v>124</v>
      </c>
      <c r="I9" s="11" t="s">
        <v>125</v>
      </c>
      <c r="J9" s="9" t="s">
        <v>100</v>
      </c>
      <c r="K9" s="10" t="s">
        <v>101</v>
      </c>
      <c r="L9" s="11" t="s">
        <v>102</v>
      </c>
      <c r="M9" s="11"/>
    </row>
    <row r="10" spans="1:13" ht="18" customHeight="1" x14ac:dyDescent="0.2">
      <c r="A10" s="8" t="s">
        <v>126</v>
      </c>
      <c r="B10" s="8" t="s">
        <v>127</v>
      </c>
      <c r="C10" s="8" t="s">
        <v>9</v>
      </c>
      <c r="D10" s="8" t="str">
        <f>IFERROR(IF('IP Input Sheet'!D5&lt;&gt;"",'IP Input Sheet'!D5,IF('IP Input Sheet'!E5&lt;&gt;"",'IP Input Sheet'!E5,'IP Input Sheet'!F5)),"[Enter IP]")</f>
        <v>10.3.118.28</v>
      </c>
      <c r="E10" s="8" t="s">
        <v>128</v>
      </c>
      <c r="F10" s="8" t="str">
        <f>IFERROR(IF('IP Input Sheet'!D20&lt;&gt;"",'IP Input Sheet'!D20,IF('IP Input Sheet'!E20&lt;&gt;"",'IP Input Sheet'!E20,'IP Input Sheet'!F20)),"[Enter IP]")</f>
        <v>10.3.118.0/24</v>
      </c>
      <c r="G10" s="8" t="s">
        <v>97</v>
      </c>
      <c r="H10" s="8" t="s">
        <v>98</v>
      </c>
      <c r="I10" s="8" t="s">
        <v>129</v>
      </c>
      <c r="J10" s="9" t="s">
        <v>100</v>
      </c>
      <c r="K10" s="10" t="s">
        <v>101</v>
      </c>
      <c r="L10" s="8" t="s">
        <v>102</v>
      </c>
      <c r="M10" s="8"/>
    </row>
    <row r="11" spans="1:13" ht="18" customHeight="1" x14ac:dyDescent="0.2">
      <c r="A11" s="11" t="s">
        <v>130</v>
      </c>
      <c r="B11" s="11" t="s">
        <v>131</v>
      </c>
      <c r="C11" s="11" t="s">
        <v>9</v>
      </c>
      <c r="D11" s="11" t="str">
        <f>IFERROR(IF('IP Input Sheet'!D5&lt;&gt;"",'IP Input Sheet'!D5,IF('IP Input Sheet'!E5&lt;&gt;"",'IP Input Sheet'!E5,'IP Input Sheet'!F5)),"[Enter IP]")</f>
        <v>10.3.118.28</v>
      </c>
      <c r="E11" s="11" t="s">
        <v>132</v>
      </c>
      <c r="F11" s="11" t="str">
        <f>IFERROR(IF('IP Input Sheet'!D7&lt;&gt;"",'IP Input Sheet'!D7,IF('IP Input Sheet'!E7&lt;&gt;"",'IP Input Sheet'!E7,'IP Input Sheet'!F7)),"[Enter IP]")</f>
        <v>10.5.25.64/26</v>
      </c>
      <c r="G11" s="11" t="s">
        <v>133</v>
      </c>
      <c r="H11" s="11" t="s">
        <v>98</v>
      </c>
      <c r="I11" s="11" t="s">
        <v>134</v>
      </c>
      <c r="J11" s="9" t="s">
        <v>100</v>
      </c>
      <c r="K11" s="10" t="s">
        <v>101</v>
      </c>
      <c r="L11" s="11" t="s">
        <v>102</v>
      </c>
      <c r="M11" s="11" t="s">
        <v>135</v>
      </c>
    </row>
    <row r="12" spans="1:13" ht="18" customHeight="1" x14ac:dyDescent="0.2">
      <c r="A12" s="8" t="s">
        <v>136</v>
      </c>
      <c r="B12" s="8" t="s">
        <v>137</v>
      </c>
      <c r="C12" s="8" t="s">
        <v>9</v>
      </c>
      <c r="D12" s="8" t="str">
        <f>IFERROR(IF('IP Input Sheet'!D5&lt;&gt;"",'IP Input Sheet'!D5,IF('IP Input Sheet'!E5&lt;&gt;"",'IP Input Sheet'!E5,'IP Input Sheet'!F5)),"[Enter IP]")</f>
        <v>10.3.118.28</v>
      </c>
      <c r="E12" s="8" t="s">
        <v>138</v>
      </c>
      <c r="F12" s="8" t="str">
        <f>IFERROR(IF('IP Input Sheet'!D7&lt;&gt;"",'IP Input Sheet'!D7,IF('IP Input Sheet'!E7&lt;&gt;"",'IP Input Sheet'!E7,'IP Input Sheet'!F7)),"[Enter IP]")</f>
        <v>10.5.25.64/26</v>
      </c>
      <c r="G12" s="8" t="s">
        <v>139</v>
      </c>
      <c r="H12" s="8" t="s">
        <v>98</v>
      </c>
      <c r="I12" s="8" t="s">
        <v>140</v>
      </c>
      <c r="J12" s="9" t="s">
        <v>100</v>
      </c>
      <c r="K12" s="10" t="s">
        <v>101</v>
      </c>
      <c r="L12" s="8" t="s">
        <v>102</v>
      </c>
      <c r="M12" s="8"/>
    </row>
    <row r="13" spans="1:13" ht="18" customHeight="1" x14ac:dyDescent="0.2">
      <c r="A13" s="11" t="s">
        <v>141</v>
      </c>
      <c r="B13" s="11" t="s">
        <v>142</v>
      </c>
      <c r="C13" s="11" t="s">
        <v>9</v>
      </c>
      <c r="D13" s="11" t="str">
        <f>IFERROR(IF('IP Input Sheet'!D5&lt;&gt;"",'IP Input Sheet'!D5,IF('IP Input Sheet'!E5&lt;&gt;"",'IP Input Sheet'!E5,'IP Input Sheet'!F5)),"[Enter IP]")</f>
        <v>10.3.118.28</v>
      </c>
      <c r="E13" s="11" t="s">
        <v>138</v>
      </c>
      <c r="F13" s="11" t="str">
        <f>IFERROR(IF('IP Input Sheet'!D7&lt;&gt;"",'IP Input Sheet'!D7,IF('IP Input Sheet'!E7&lt;&gt;"",'IP Input Sheet'!E7,'IP Input Sheet'!F7)),"[Enter IP]")</f>
        <v>10.5.25.64/26</v>
      </c>
      <c r="G13" s="11" t="s">
        <v>143</v>
      </c>
      <c r="H13" s="11" t="s">
        <v>98</v>
      </c>
      <c r="I13" s="11" t="s">
        <v>144</v>
      </c>
      <c r="J13" s="9" t="s">
        <v>100</v>
      </c>
      <c r="K13" s="10" t="s">
        <v>101</v>
      </c>
      <c r="L13" s="11" t="s">
        <v>102</v>
      </c>
      <c r="M13" s="11"/>
    </row>
    <row r="14" spans="1:13" ht="18" customHeight="1" x14ac:dyDescent="0.2">
      <c r="A14" s="8" t="s">
        <v>145</v>
      </c>
      <c r="B14" s="8" t="s">
        <v>146</v>
      </c>
      <c r="C14" s="8" t="s">
        <v>9</v>
      </c>
      <c r="D14" s="8" t="str">
        <f>IFERROR(IF('IP Input Sheet'!D5&lt;&gt;"",'IP Input Sheet'!D5,IF('IP Input Sheet'!E5&lt;&gt;"",'IP Input Sheet'!E5,'IP Input Sheet'!F5)),"[Enter IP]")</f>
        <v>10.3.118.28</v>
      </c>
      <c r="E14" s="8" t="s">
        <v>138</v>
      </c>
      <c r="F14" s="8" t="str">
        <f>IFERROR(IF('IP Input Sheet'!D7&lt;&gt;"",'IP Input Sheet'!D7,IF('IP Input Sheet'!E7&lt;&gt;"",'IP Input Sheet'!E7,'IP Input Sheet'!F7)),"[Enter IP]")</f>
        <v>10.5.25.64/26</v>
      </c>
      <c r="G14" s="8" t="s">
        <v>147</v>
      </c>
      <c r="H14" s="8" t="s">
        <v>98</v>
      </c>
      <c r="I14" s="8" t="s">
        <v>148</v>
      </c>
      <c r="J14" s="9" t="s">
        <v>100</v>
      </c>
      <c r="K14" s="10" t="s">
        <v>101</v>
      </c>
      <c r="L14" s="8" t="s">
        <v>102</v>
      </c>
      <c r="M14" s="8"/>
    </row>
    <row r="15" spans="1:13" ht="18" customHeight="1" x14ac:dyDescent="0.2">
      <c r="A15" s="11" t="s">
        <v>149</v>
      </c>
      <c r="B15" s="11" t="s">
        <v>150</v>
      </c>
      <c r="C15" s="11" t="s">
        <v>9</v>
      </c>
      <c r="D15" s="11" t="str">
        <f>IFERROR(IF('IP Input Sheet'!D5&lt;&gt;"",'IP Input Sheet'!D5,IF('IP Input Sheet'!E5&lt;&gt;"",'IP Input Sheet'!E5,'IP Input Sheet'!F5)),"[Enter IP]")</f>
        <v>10.3.118.28</v>
      </c>
      <c r="E15" s="11" t="s">
        <v>138</v>
      </c>
      <c r="F15" s="11" t="str">
        <f>IFERROR(IF('IP Input Sheet'!D7&lt;&gt;"",'IP Input Sheet'!D7,IF('IP Input Sheet'!E7&lt;&gt;"",'IP Input Sheet'!E7,'IP Input Sheet'!F7)),"[Enter IP]")</f>
        <v>10.5.25.64/26</v>
      </c>
      <c r="G15" s="11" t="s">
        <v>151</v>
      </c>
      <c r="H15" s="11" t="s">
        <v>98</v>
      </c>
      <c r="I15" s="11" t="s">
        <v>152</v>
      </c>
      <c r="J15" s="9" t="s">
        <v>100</v>
      </c>
      <c r="K15" s="10" t="s">
        <v>101</v>
      </c>
      <c r="L15" s="11" t="s">
        <v>102</v>
      </c>
      <c r="M15" s="11"/>
    </row>
    <row r="16" spans="1:13" ht="18" customHeight="1" x14ac:dyDescent="0.2">
      <c r="A16" s="8" t="s">
        <v>153</v>
      </c>
      <c r="B16" s="8" t="s">
        <v>154</v>
      </c>
      <c r="C16" s="8" t="s">
        <v>9</v>
      </c>
      <c r="D16" s="8" t="str">
        <f>IFERROR(IF('IP Input Sheet'!D5&lt;&gt;"",'IP Input Sheet'!D5,IF('IP Input Sheet'!E5&lt;&gt;"",'IP Input Sheet'!E5,'IP Input Sheet'!F5)),"[Enter IP]")</f>
        <v>10.3.118.28</v>
      </c>
      <c r="E16" s="8" t="s">
        <v>138</v>
      </c>
      <c r="F16" s="8" t="str">
        <f>IFERROR(IF('IP Input Sheet'!D7&lt;&gt;"",'IP Input Sheet'!D7,IF('IP Input Sheet'!E7&lt;&gt;"",'IP Input Sheet'!E7,'IP Input Sheet'!F7)),"[Enter IP]")</f>
        <v>10.5.25.64/26</v>
      </c>
      <c r="G16" s="8" t="s">
        <v>155</v>
      </c>
      <c r="H16" s="8" t="s">
        <v>98</v>
      </c>
      <c r="I16" s="8" t="s">
        <v>152</v>
      </c>
      <c r="J16" s="9" t="s">
        <v>100</v>
      </c>
      <c r="K16" s="10" t="s">
        <v>101</v>
      </c>
      <c r="L16" s="8" t="s">
        <v>102</v>
      </c>
      <c r="M16" s="8"/>
    </row>
    <row r="17" spans="1:13" ht="18" customHeight="1" x14ac:dyDescent="0.2">
      <c r="A17" s="11" t="s">
        <v>156</v>
      </c>
      <c r="B17" s="11" t="s">
        <v>157</v>
      </c>
      <c r="C17" s="11" t="s">
        <v>9</v>
      </c>
      <c r="D17" s="11" t="str">
        <f>IFERROR(IF('IP Input Sheet'!D5&lt;&gt;"",'IP Input Sheet'!D5,IF('IP Input Sheet'!E5&lt;&gt;"",'IP Input Sheet'!E5,'IP Input Sheet'!F5)),"[Enter IP]")</f>
        <v>10.3.118.28</v>
      </c>
      <c r="E17" s="11" t="s">
        <v>132</v>
      </c>
      <c r="F17" s="11" t="str">
        <f>IFERROR(IF('IP Input Sheet'!D7&lt;&gt;"",'IP Input Sheet'!D7,IF('IP Input Sheet'!E7&lt;&gt;"",'IP Input Sheet'!E7,'IP Input Sheet'!F7)),"[Enter IP]")</f>
        <v>10.5.25.64/26</v>
      </c>
      <c r="G17" s="11" t="s">
        <v>158</v>
      </c>
      <c r="H17" s="11" t="s">
        <v>98</v>
      </c>
      <c r="I17" s="11" t="s">
        <v>159</v>
      </c>
      <c r="J17" s="9" t="s">
        <v>100</v>
      </c>
      <c r="K17" s="10" t="s">
        <v>101</v>
      </c>
      <c r="L17" s="11" t="s">
        <v>102</v>
      </c>
      <c r="M17" s="11"/>
    </row>
    <row r="18" spans="1:13" ht="18" customHeight="1" x14ac:dyDescent="0.2">
      <c r="A18" s="8" t="s">
        <v>160</v>
      </c>
      <c r="B18" s="8" t="s">
        <v>161</v>
      </c>
      <c r="C18" s="8" t="s">
        <v>12</v>
      </c>
      <c r="D18" s="8" t="str">
        <f>IFERROR(IF('IP Input Sheet'!D6&lt;&gt;"",'IP Input Sheet'!D6,IF('IP Input Sheet'!E6&lt;&gt;"",'IP Input Sheet'!E6,'IP Input Sheet'!F6)),"[Enter IP]")</f>
        <v>10.5.25.64/26</v>
      </c>
      <c r="E18" s="8" t="s">
        <v>64</v>
      </c>
      <c r="F18" s="8">
        <f>'IP Input Sheet'!D25</f>
        <v>0</v>
      </c>
      <c r="G18" s="8" t="s">
        <v>123</v>
      </c>
      <c r="H18" s="8" t="s">
        <v>124</v>
      </c>
      <c r="I18" s="8" t="s">
        <v>162</v>
      </c>
      <c r="J18" s="9" t="s">
        <v>100</v>
      </c>
      <c r="K18" s="10" t="s">
        <v>101</v>
      </c>
      <c r="L18" s="8" t="s">
        <v>102</v>
      </c>
      <c r="M18" s="8"/>
    </row>
    <row r="19" spans="1:13" ht="18" customHeight="1" x14ac:dyDescent="0.2">
      <c r="A19" s="11" t="s">
        <v>163</v>
      </c>
      <c r="B19" s="11" t="s">
        <v>164</v>
      </c>
      <c r="C19" s="11" t="s">
        <v>12</v>
      </c>
      <c r="D19" s="11" t="str">
        <f>IFERROR(IF('IP Input Sheet'!D6&lt;&gt;"",'IP Input Sheet'!D6,IF('IP Input Sheet'!E6&lt;&gt;"",'IP Input Sheet'!E6,'IP Input Sheet'!F6)),"[Enter IP]")</f>
        <v>10.5.25.64/26</v>
      </c>
      <c r="E19" s="11" t="s">
        <v>60</v>
      </c>
      <c r="F19" s="11">
        <f>'IP Input Sheet'!D24</f>
        <v>0</v>
      </c>
      <c r="G19" s="11" t="s">
        <v>117</v>
      </c>
      <c r="H19" s="11" t="s">
        <v>118</v>
      </c>
      <c r="I19" s="11" t="s">
        <v>165</v>
      </c>
      <c r="J19" s="9" t="s">
        <v>100</v>
      </c>
      <c r="K19" s="10" t="s">
        <v>101</v>
      </c>
      <c r="L19" s="11" t="s">
        <v>102</v>
      </c>
      <c r="M19" s="11"/>
    </row>
    <row r="20" spans="1:13" ht="18" customHeight="1" x14ac:dyDescent="0.2">
      <c r="A20" s="8" t="s">
        <v>166</v>
      </c>
      <c r="B20" s="8" t="s">
        <v>167</v>
      </c>
      <c r="C20" s="8" t="s">
        <v>12</v>
      </c>
      <c r="D20" s="8" t="str">
        <f>IFERROR(IF('IP Input Sheet'!D6&lt;&gt;"",'IP Input Sheet'!D6,IF('IP Input Sheet'!E6&lt;&gt;"",'IP Input Sheet'!E6,'IP Input Sheet'!F6)),"[Enter IP]")</f>
        <v>10.5.25.64/26</v>
      </c>
      <c r="E20" s="8" t="s">
        <v>168</v>
      </c>
      <c r="F20" s="8">
        <f>'IP Input Sheet'!D26</f>
        <v>0</v>
      </c>
      <c r="G20" s="8" t="s">
        <v>169</v>
      </c>
      <c r="H20" s="8" t="s">
        <v>98</v>
      </c>
      <c r="I20" s="8" t="s">
        <v>170</v>
      </c>
      <c r="J20" s="9" t="s">
        <v>100</v>
      </c>
      <c r="K20" s="10" t="s">
        <v>101</v>
      </c>
      <c r="L20" s="8" t="s">
        <v>102</v>
      </c>
      <c r="M20" s="8"/>
    </row>
    <row r="21" spans="1:13" ht="18" customHeight="1" x14ac:dyDescent="0.2">
      <c r="A21" s="11" t="s">
        <v>171</v>
      </c>
      <c r="B21" s="11" t="s">
        <v>172</v>
      </c>
      <c r="C21" s="11" t="s">
        <v>12</v>
      </c>
      <c r="D21" s="11" t="str">
        <f>IFERROR(IF('IP Input Sheet'!D6&lt;&gt;"",'IP Input Sheet'!D6,IF('IP Input Sheet'!E6&lt;&gt;"",'IP Input Sheet'!E6,'IP Input Sheet'!F6)),"[Enter IP]")</f>
        <v>10.5.25.64/26</v>
      </c>
      <c r="E21" s="11" t="s">
        <v>168</v>
      </c>
      <c r="F21" s="11">
        <f>'IP Input Sheet'!D26</f>
        <v>0</v>
      </c>
      <c r="G21" s="11" t="s">
        <v>173</v>
      </c>
      <c r="H21" s="11" t="s">
        <v>98</v>
      </c>
      <c r="I21" s="11" t="s">
        <v>174</v>
      </c>
      <c r="J21" s="9" t="s">
        <v>100</v>
      </c>
      <c r="K21" s="10" t="s">
        <v>101</v>
      </c>
      <c r="L21" s="11" t="s">
        <v>102</v>
      </c>
      <c r="M21" s="11"/>
    </row>
    <row r="22" spans="1:13" ht="18" customHeight="1" x14ac:dyDescent="0.2">
      <c r="A22" s="8" t="s">
        <v>175</v>
      </c>
      <c r="B22" s="8" t="s">
        <v>176</v>
      </c>
      <c r="C22" s="8" t="s">
        <v>12</v>
      </c>
      <c r="D22" s="8" t="str">
        <f>IFERROR(IF('IP Input Sheet'!D6&lt;&gt;"",'IP Input Sheet'!D6,IF('IP Input Sheet'!E6&lt;&gt;"",'IP Input Sheet'!E6,'IP Input Sheet'!F6)),"[Enter IP]")</f>
        <v>10.5.25.64/26</v>
      </c>
      <c r="E22" s="8" t="s">
        <v>168</v>
      </c>
      <c r="F22" s="8">
        <f>'IP Input Sheet'!D26</f>
        <v>0</v>
      </c>
      <c r="G22" s="8" t="s">
        <v>177</v>
      </c>
      <c r="H22" s="8" t="s">
        <v>98</v>
      </c>
      <c r="I22" s="8" t="s">
        <v>178</v>
      </c>
      <c r="J22" s="9" t="s">
        <v>100</v>
      </c>
      <c r="K22" s="10" t="s">
        <v>101</v>
      </c>
      <c r="L22" s="8" t="s">
        <v>102</v>
      </c>
      <c r="M22" s="8"/>
    </row>
    <row r="23" spans="1:13" ht="18" customHeight="1" x14ac:dyDescent="0.2">
      <c r="A23" s="11" t="s">
        <v>179</v>
      </c>
      <c r="B23" s="11" t="s">
        <v>180</v>
      </c>
      <c r="C23" s="11" t="s">
        <v>12</v>
      </c>
      <c r="D23" s="11" t="str">
        <f>IFERROR(IF('IP Input Sheet'!D6&lt;&gt;"",'IP Input Sheet'!D6,IF('IP Input Sheet'!E6&lt;&gt;"",'IP Input Sheet'!E6,'IP Input Sheet'!F6)),"[Enter IP]")</f>
        <v>10.5.25.64/26</v>
      </c>
      <c r="E23" s="11" t="s">
        <v>181</v>
      </c>
      <c r="F23" s="11">
        <f>'IP Input Sheet'!D28</f>
        <v>0</v>
      </c>
      <c r="G23" s="11" t="s">
        <v>133</v>
      </c>
      <c r="H23" s="11" t="s">
        <v>98</v>
      </c>
      <c r="I23" s="11" t="s">
        <v>182</v>
      </c>
      <c r="J23" s="9" t="s">
        <v>100</v>
      </c>
      <c r="K23" s="10" t="s">
        <v>101</v>
      </c>
      <c r="L23" s="11" t="s">
        <v>102</v>
      </c>
      <c r="M23" s="11"/>
    </row>
    <row r="24" spans="1:13" ht="18" customHeight="1" x14ac:dyDescent="0.2">
      <c r="A24" s="8" t="s">
        <v>183</v>
      </c>
      <c r="B24" s="8" t="s">
        <v>184</v>
      </c>
      <c r="C24" s="8" t="s">
        <v>12</v>
      </c>
      <c r="D24" s="8" t="str">
        <f>IFERROR(IF('IP Input Sheet'!D6&lt;&gt;"",'IP Input Sheet'!D6,IF('IP Input Sheet'!E6&lt;&gt;"",'IP Input Sheet'!E6,'IP Input Sheet'!F6)),"[Enter IP]")</f>
        <v>10.5.25.64/26</v>
      </c>
      <c r="E24" s="8" t="s">
        <v>31</v>
      </c>
      <c r="F24" s="8" t="str">
        <f>IFERROR(IF('IP Input Sheet'!D13&lt;&gt;"",'IP Input Sheet'!D13,IF('IP Input Sheet'!E13&lt;&gt;"",'IP Input Sheet'!E13,'IP Input Sheet'!F13)),"[Enter IP]")</f>
        <v>10.3.118.18</v>
      </c>
      <c r="G24" s="8" t="s">
        <v>185</v>
      </c>
      <c r="H24" s="8" t="s">
        <v>98</v>
      </c>
      <c r="I24" s="8" t="s">
        <v>186</v>
      </c>
      <c r="J24" s="9" t="s">
        <v>100</v>
      </c>
      <c r="K24" s="10" t="s">
        <v>101</v>
      </c>
      <c r="L24" s="8" t="s">
        <v>102</v>
      </c>
      <c r="M24" s="8"/>
    </row>
    <row r="25" spans="1:13" ht="18" customHeight="1" x14ac:dyDescent="0.2">
      <c r="A25" s="11" t="s">
        <v>187</v>
      </c>
      <c r="B25" s="11" t="s">
        <v>188</v>
      </c>
      <c r="C25" s="11" t="s">
        <v>12</v>
      </c>
      <c r="D25" s="11" t="str">
        <f>IFERROR(IF('IP Input Sheet'!D6&lt;&gt;"",'IP Input Sheet'!D6,IF('IP Input Sheet'!E6&lt;&gt;"",'IP Input Sheet'!E6,'IP Input Sheet'!F6)),"[Enter IP]")</f>
        <v>10.5.25.64/26</v>
      </c>
      <c r="E25" s="11" t="s">
        <v>31</v>
      </c>
      <c r="F25" s="11" t="str">
        <f>IFERROR(IF('IP Input Sheet'!D13&lt;&gt;"",'IP Input Sheet'!D13,IF('IP Input Sheet'!E13&lt;&gt;"",'IP Input Sheet'!E13,'IP Input Sheet'!F13)),"[Enter IP]")</f>
        <v>10.3.118.18</v>
      </c>
      <c r="G25" s="11" t="s">
        <v>97</v>
      </c>
      <c r="H25" s="11" t="s">
        <v>98</v>
      </c>
      <c r="I25" s="11" t="s">
        <v>189</v>
      </c>
      <c r="J25" s="9" t="s">
        <v>100</v>
      </c>
      <c r="K25" s="10" t="s">
        <v>101</v>
      </c>
      <c r="L25" s="11" t="s">
        <v>102</v>
      </c>
      <c r="M25" s="11"/>
    </row>
    <row r="26" spans="1:13" ht="18" customHeight="1" x14ac:dyDescent="0.2">
      <c r="A26" s="8" t="s">
        <v>190</v>
      </c>
      <c r="B26" s="8" t="s">
        <v>191</v>
      </c>
      <c r="C26" s="8" t="s">
        <v>12</v>
      </c>
      <c r="D26" s="8" t="str">
        <f>IFERROR(IF('IP Input Sheet'!D6&lt;&gt;"",'IP Input Sheet'!D6,IF('IP Input Sheet'!E6&lt;&gt;"",'IP Input Sheet'!E6,'IP Input Sheet'!F6)),"[Enter IP]")</f>
        <v>10.5.25.64/26</v>
      </c>
      <c r="E26" s="8" t="s">
        <v>128</v>
      </c>
      <c r="F26" s="8" t="str">
        <f>IFERROR(IF('IP Input Sheet'!D20&lt;&gt;"",'IP Input Sheet'!D20,IF('IP Input Sheet'!E20&lt;&gt;"",'IP Input Sheet'!E20,'IP Input Sheet'!F20)),"[Enter IP]")</f>
        <v>10.3.118.0/24</v>
      </c>
      <c r="G26" s="8" t="s">
        <v>97</v>
      </c>
      <c r="H26" s="8" t="s">
        <v>98</v>
      </c>
      <c r="I26" s="8" t="s">
        <v>192</v>
      </c>
      <c r="J26" s="9" t="s">
        <v>100</v>
      </c>
      <c r="K26" s="10" t="s">
        <v>101</v>
      </c>
      <c r="L26" s="8" t="s">
        <v>102</v>
      </c>
      <c r="M26" s="8"/>
    </row>
    <row r="27" spans="1:13" ht="18" customHeight="1" x14ac:dyDescent="0.2">
      <c r="A27" s="11" t="s">
        <v>193</v>
      </c>
      <c r="B27" s="11" t="s">
        <v>194</v>
      </c>
      <c r="C27" s="11" t="s">
        <v>12</v>
      </c>
      <c r="D27" s="11" t="str">
        <f>IFERROR(IF('IP Input Sheet'!D6&lt;&gt;"",'IP Input Sheet'!D6,IF('IP Input Sheet'!E6&lt;&gt;"",'IP Input Sheet'!E6,'IP Input Sheet'!F6)),"[Enter IP]")</f>
        <v>10.5.25.64/26</v>
      </c>
      <c r="E27" s="11" t="s">
        <v>113</v>
      </c>
      <c r="F27" s="11" t="str">
        <f>IFERROR(IF('IP Input Sheet'!D14&lt;&gt;"",'IP Input Sheet'!D14,IF('IP Input Sheet'!E14&lt;&gt;"",'IP Input Sheet'!E14,'IP Input Sheet'!F14)),"[Enter IP]")</f>
        <v>10.3.118.0/24</v>
      </c>
      <c r="G27" s="11" t="s">
        <v>97</v>
      </c>
      <c r="H27" s="11" t="s">
        <v>98</v>
      </c>
      <c r="I27" s="11" t="s">
        <v>195</v>
      </c>
      <c r="J27" s="9" t="s">
        <v>100</v>
      </c>
      <c r="K27" s="10" t="s">
        <v>101</v>
      </c>
      <c r="L27" s="11" t="s">
        <v>102</v>
      </c>
      <c r="M27" s="11"/>
    </row>
    <row r="28" spans="1:13" ht="18" customHeight="1" x14ac:dyDescent="0.2">
      <c r="A28" s="8" t="s">
        <v>196</v>
      </c>
      <c r="B28" s="8" t="s">
        <v>197</v>
      </c>
      <c r="C28" s="8" t="s">
        <v>15</v>
      </c>
      <c r="D28" s="8" t="str">
        <f>IFERROR(IF('IP Input Sheet'!D7&lt;&gt;"",'IP Input Sheet'!D7,IF('IP Input Sheet'!E7&lt;&gt;"",'IP Input Sheet'!E7,'IP Input Sheet'!F7)),"[Enter IP]")</f>
        <v>10.5.25.64/26</v>
      </c>
      <c r="E28" s="8" t="s">
        <v>31</v>
      </c>
      <c r="F28" s="8" t="str">
        <f>IFERROR(IF('IP Input Sheet'!D13&lt;&gt;"",'IP Input Sheet'!D13,IF('IP Input Sheet'!E13&lt;&gt;"",'IP Input Sheet'!E13,'IP Input Sheet'!F13)),"[Enter IP]")</f>
        <v>10.3.118.18</v>
      </c>
      <c r="G28" s="8" t="s">
        <v>97</v>
      </c>
      <c r="H28" s="8" t="s">
        <v>98</v>
      </c>
      <c r="I28" s="8" t="s">
        <v>198</v>
      </c>
      <c r="J28" s="9" t="s">
        <v>100</v>
      </c>
      <c r="K28" s="10" t="s">
        <v>101</v>
      </c>
      <c r="L28" s="8" t="s">
        <v>107</v>
      </c>
      <c r="M28" s="8"/>
    </row>
    <row r="29" spans="1:13" ht="18" customHeight="1" x14ac:dyDescent="0.2">
      <c r="A29" s="11" t="s">
        <v>199</v>
      </c>
      <c r="B29" s="11" t="s">
        <v>200</v>
      </c>
      <c r="C29" s="11" t="s">
        <v>15</v>
      </c>
      <c r="D29" s="11" t="str">
        <f>IFERROR(IF('IP Input Sheet'!D7&lt;&gt;"",'IP Input Sheet'!D7,IF('IP Input Sheet'!E7&lt;&gt;"",'IP Input Sheet'!E7,'IP Input Sheet'!F7)),"[Enter IP]")</f>
        <v>10.5.25.64/26</v>
      </c>
      <c r="E29" s="11" t="s">
        <v>128</v>
      </c>
      <c r="F29" s="11" t="str">
        <f>IFERROR(IF('IP Input Sheet'!D20&lt;&gt;"",'IP Input Sheet'!D20,IF('IP Input Sheet'!E20&lt;&gt;"",'IP Input Sheet'!E20,'IP Input Sheet'!F20)),"[Enter IP]")</f>
        <v>10.3.118.0/24</v>
      </c>
      <c r="G29" s="11" t="s">
        <v>201</v>
      </c>
      <c r="H29" s="11" t="s">
        <v>98</v>
      </c>
      <c r="I29" s="11" t="s">
        <v>202</v>
      </c>
      <c r="J29" s="9" t="s">
        <v>100</v>
      </c>
      <c r="K29" s="10" t="s">
        <v>101</v>
      </c>
      <c r="L29" s="11" t="s">
        <v>102</v>
      </c>
      <c r="M29" s="11"/>
    </row>
    <row r="30" spans="1:13" ht="18" customHeight="1" x14ac:dyDescent="0.2">
      <c r="A30" s="8" t="s">
        <v>203</v>
      </c>
      <c r="B30" s="8" t="s">
        <v>204</v>
      </c>
      <c r="C30" s="8" t="s">
        <v>15</v>
      </c>
      <c r="D30" s="8" t="str">
        <f>IFERROR(IF('IP Input Sheet'!D7&lt;&gt;"",'IP Input Sheet'!D7,IF('IP Input Sheet'!E7&lt;&gt;"",'IP Input Sheet'!E7,'IP Input Sheet'!F7)),"[Enter IP]")</f>
        <v>10.5.25.64/26</v>
      </c>
      <c r="E30" s="8" t="s">
        <v>128</v>
      </c>
      <c r="F30" s="8" t="str">
        <f>IFERROR(IF('IP Input Sheet'!D20&lt;&gt;"",'IP Input Sheet'!D20,IF('IP Input Sheet'!E20&lt;&gt;"",'IP Input Sheet'!E20,'IP Input Sheet'!F20)),"[Enter IP]")</f>
        <v>10.3.118.0/24</v>
      </c>
      <c r="G30" s="8" t="s">
        <v>97</v>
      </c>
      <c r="H30" s="8" t="s">
        <v>98</v>
      </c>
      <c r="I30" s="8" t="s">
        <v>205</v>
      </c>
      <c r="J30" s="9" t="s">
        <v>100</v>
      </c>
      <c r="K30" s="10" t="s">
        <v>101</v>
      </c>
      <c r="L30" s="8" t="s">
        <v>107</v>
      </c>
      <c r="M30" s="8"/>
    </row>
    <row r="31" spans="1:13" ht="18" customHeight="1" x14ac:dyDescent="0.2">
      <c r="A31" s="11" t="s">
        <v>206</v>
      </c>
      <c r="B31" s="11" t="s">
        <v>207</v>
      </c>
      <c r="C31" s="11" t="s">
        <v>15</v>
      </c>
      <c r="D31" s="11" t="str">
        <f>IFERROR(IF('IP Input Sheet'!D7&lt;&gt;"",'IP Input Sheet'!D7,IF('IP Input Sheet'!E7&lt;&gt;"",'IP Input Sheet'!E7,'IP Input Sheet'!F7)),"[Enter IP]")</f>
        <v>10.5.25.64/26</v>
      </c>
      <c r="E31" s="11" t="s">
        <v>128</v>
      </c>
      <c r="F31" s="11" t="str">
        <f>IFERROR(IF('IP Input Sheet'!D20&lt;&gt;"",'IP Input Sheet'!D20,IF('IP Input Sheet'!E20&lt;&gt;"",'IP Input Sheet'!E20,'IP Input Sheet'!F20)),"[Enter IP]")</f>
        <v>10.3.118.0/24</v>
      </c>
      <c r="G31" s="11" t="s">
        <v>133</v>
      </c>
      <c r="H31" s="11" t="s">
        <v>98</v>
      </c>
      <c r="I31" s="11" t="s">
        <v>208</v>
      </c>
      <c r="J31" s="9" t="s">
        <v>100</v>
      </c>
      <c r="K31" s="10" t="s">
        <v>101</v>
      </c>
      <c r="L31" s="11" t="s">
        <v>107</v>
      </c>
      <c r="M31" s="11" t="s">
        <v>209</v>
      </c>
    </row>
    <row r="32" spans="1:13" ht="18" customHeight="1" x14ac:dyDescent="0.2">
      <c r="A32" s="8" t="s">
        <v>210</v>
      </c>
      <c r="B32" s="8" t="s">
        <v>211</v>
      </c>
      <c r="C32" s="8" t="s">
        <v>15</v>
      </c>
      <c r="D32" s="8" t="str">
        <f>IFERROR(IF('IP Input Sheet'!D7&lt;&gt;"",'IP Input Sheet'!D7,IF('IP Input Sheet'!E7&lt;&gt;"",'IP Input Sheet'!E7,'IP Input Sheet'!F7)),"[Enter IP]")</f>
        <v>10.5.25.64/26</v>
      </c>
      <c r="E32" s="8" t="s">
        <v>212</v>
      </c>
      <c r="F32" s="8" t="str">
        <f>IFERROR(IF('IP Input Sheet'!D14&lt;&gt;"",'IP Input Sheet'!D14,IF('IP Input Sheet'!E14&lt;&gt;"",'IP Input Sheet'!E14,'IP Input Sheet'!F14)),"[Enter IP]")</f>
        <v>10.3.118.0/24</v>
      </c>
      <c r="G32" s="8" t="s">
        <v>97</v>
      </c>
      <c r="H32" s="8" t="s">
        <v>98</v>
      </c>
      <c r="I32" s="8" t="s">
        <v>213</v>
      </c>
      <c r="J32" s="9" t="s">
        <v>100</v>
      </c>
      <c r="K32" s="10" t="s">
        <v>101</v>
      </c>
      <c r="L32" s="8" t="s">
        <v>107</v>
      </c>
      <c r="M32" s="8"/>
    </row>
    <row r="33" spans="1:13" ht="18" customHeight="1" x14ac:dyDescent="0.2">
      <c r="A33" s="11" t="s">
        <v>214</v>
      </c>
      <c r="B33" s="11" t="s">
        <v>215</v>
      </c>
      <c r="C33" s="11" t="s">
        <v>15</v>
      </c>
      <c r="D33" s="11" t="str">
        <f>IFERROR(IF('IP Input Sheet'!D7&lt;&gt;"",'IP Input Sheet'!D7,IF('IP Input Sheet'!E7&lt;&gt;"",'IP Input Sheet'!E7,'IP Input Sheet'!F7)),"[Enter IP]")</f>
        <v>10.5.25.64/26</v>
      </c>
      <c r="E33" s="11" t="s">
        <v>216</v>
      </c>
      <c r="F33" s="11">
        <f>IFERROR(IF('IP Input Sheet'!D21&lt;&gt;"",'IP Input Sheet'!D21,IF('IP Input Sheet'!E21&lt;&gt;"",'IP Input Sheet'!E21,'IP Input Sheet'!F21)),"[Enter IP]")</f>
        <v>0</v>
      </c>
      <c r="G33" s="11" t="s">
        <v>97</v>
      </c>
      <c r="H33" s="11" t="s">
        <v>98</v>
      </c>
      <c r="I33" s="11" t="s">
        <v>217</v>
      </c>
      <c r="J33" s="9" t="s">
        <v>100</v>
      </c>
      <c r="K33" s="10" t="s">
        <v>101</v>
      </c>
      <c r="L33" s="11" t="s">
        <v>102</v>
      </c>
      <c r="M33" s="11"/>
    </row>
    <row r="34" spans="1:13" ht="18" customHeight="1" x14ac:dyDescent="0.2">
      <c r="A34" s="8" t="s">
        <v>218</v>
      </c>
      <c r="B34" s="8" t="s">
        <v>219</v>
      </c>
      <c r="C34" s="8" t="s">
        <v>15</v>
      </c>
      <c r="D34" s="8" t="str">
        <f>IFERROR(IF('IP Input Sheet'!D7&lt;&gt;"",'IP Input Sheet'!D7,IF('IP Input Sheet'!E7&lt;&gt;"",'IP Input Sheet'!E7,'IP Input Sheet'!F7)),"[Enter IP]")</f>
        <v>10.5.25.64/26</v>
      </c>
      <c r="E34" s="8" t="s">
        <v>216</v>
      </c>
      <c r="F34" s="8">
        <f>IFERROR(IF('IP Input Sheet'!D21&lt;&gt;"",'IP Input Sheet'!D21,IF('IP Input Sheet'!E21&lt;&gt;"",'IP Input Sheet'!E21,'IP Input Sheet'!F21)),"[Enter IP]")</f>
        <v>0</v>
      </c>
      <c r="G34" s="8" t="s">
        <v>139</v>
      </c>
      <c r="H34" s="8" t="s">
        <v>98</v>
      </c>
      <c r="I34" s="8" t="s">
        <v>220</v>
      </c>
      <c r="J34" s="9" t="s">
        <v>100</v>
      </c>
      <c r="K34" s="10" t="s">
        <v>101</v>
      </c>
      <c r="L34" s="8" t="s">
        <v>102</v>
      </c>
      <c r="M34" s="8"/>
    </row>
    <row r="35" spans="1:13" ht="18" customHeight="1" x14ac:dyDescent="0.2">
      <c r="A35" s="11" t="s">
        <v>221</v>
      </c>
      <c r="B35" s="11" t="s">
        <v>222</v>
      </c>
      <c r="C35" s="11" t="s">
        <v>223</v>
      </c>
      <c r="D35" s="11" t="str">
        <f>IFERROR(IF('IP Input Sheet'!D9&lt;&gt;"",'IP Input Sheet'!D9,IF('IP Input Sheet'!E9&lt;&gt;"",'IP Input Sheet'!E9,'IP Input Sheet'!F9)),"[Enter IP]")</f>
        <v>10.5.25.64/26</v>
      </c>
      <c r="E35" s="11" t="s">
        <v>31</v>
      </c>
      <c r="F35" s="11" t="str">
        <f>IFERROR(IF('IP Input Sheet'!D13&lt;&gt;"",'IP Input Sheet'!D13,IF('IP Input Sheet'!E13&lt;&gt;"",'IP Input Sheet'!E13,'IP Input Sheet'!F13)),"[Enter IP]")</f>
        <v>10.3.118.18</v>
      </c>
      <c r="G35" s="11" t="s">
        <v>224</v>
      </c>
      <c r="H35" s="11" t="s">
        <v>98</v>
      </c>
      <c r="I35" s="11" t="s">
        <v>225</v>
      </c>
      <c r="J35" s="9" t="s">
        <v>100</v>
      </c>
      <c r="K35" s="10" t="s">
        <v>101</v>
      </c>
      <c r="L35" s="11" t="s">
        <v>102</v>
      </c>
      <c r="M35" s="11" t="s">
        <v>226</v>
      </c>
    </row>
    <row r="36" spans="1:13" ht="18" customHeight="1" x14ac:dyDescent="0.2">
      <c r="A36" s="8" t="s">
        <v>227</v>
      </c>
      <c r="B36" s="8" t="s">
        <v>228</v>
      </c>
      <c r="C36" s="8" t="s">
        <v>223</v>
      </c>
      <c r="D36" s="8" t="str">
        <f>IFERROR(IF('IP Input Sheet'!D9&lt;&gt;"",'IP Input Sheet'!D9,IF('IP Input Sheet'!E9&lt;&gt;"",'IP Input Sheet'!E9,'IP Input Sheet'!F9)),"[Enter IP]")</f>
        <v>10.5.25.64/26</v>
      </c>
      <c r="E36" s="8" t="s">
        <v>128</v>
      </c>
      <c r="F36" s="8" t="str">
        <f>IFERROR(IF('IP Input Sheet'!D20&lt;&gt;"",'IP Input Sheet'!D20,IF('IP Input Sheet'!E20&lt;&gt;"",'IP Input Sheet'!E20,'IP Input Sheet'!F20)),"[Enter IP]")</f>
        <v>10.3.118.0/24</v>
      </c>
      <c r="G36" s="8" t="s">
        <v>229</v>
      </c>
      <c r="H36" s="8" t="s">
        <v>118</v>
      </c>
      <c r="I36" s="8" t="s">
        <v>230</v>
      </c>
      <c r="J36" s="9" t="s">
        <v>100</v>
      </c>
      <c r="K36" s="10" t="s">
        <v>101</v>
      </c>
      <c r="L36" s="8" t="s">
        <v>102</v>
      </c>
      <c r="M36" s="8"/>
    </row>
    <row r="37" spans="1:13" ht="18" customHeight="1" x14ac:dyDescent="0.2">
      <c r="A37" s="11" t="s">
        <v>231</v>
      </c>
      <c r="B37" s="11" t="s">
        <v>232</v>
      </c>
      <c r="C37" s="11" t="s">
        <v>223</v>
      </c>
      <c r="D37" s="11" t="str">
        <f>IFERROR(IF('IP Input Sheet'!D9&lt;&gt;"",'IP Input Sheet'!D9,IF('IP Input Sheet'!E9&lt;&gt;"",'IP Input Sheet'!E9,'IP Input Sheet'!F9)),"[Enter IP]")</f>
        <v>10.5.25.64/26</v>
      </c>
      <c r="E37" s="11" t="s">
        <v>113</v>
      </c>
      <c r="F37" s="11" t="str">
        <f>IFERROR(IF('IP Input Sheet'!D14&lt;&gt;"",'IP Input Sheet'!D14,IF('IP Input Sheet'!E14&lt;&gt;"",'IP Input Sheet'!E14,'IP Input Sheet'!F14)),"[Enter IP]")</f>
        <v>10.3.118.0/24</v>
      </c>
      <c r="G37" s="11" t="s">
        <v>97</v>
      </c>
      <c r="H37" s="11" t="s">
        <v>98</v>
      </c>
      <c r="I37" s="11" t="s">
        <v>233</v>
      </c>
      <c r="J37" s="9" t="s">
        <v>100</v>
      </c>
      <c r="K37" s="10" t="s">
        <v>101</v>
      </c>
      <c r="L37" s="11" t="s">
        <v>102</v>
      </c>
      <c r="M37" s="11"/>
    </row>
    <row r="38" spans="1:13" ht="18" customHeight="1" x14ac:dyDescent="0.2">
      <c r="A38" s="8" t="s">
        <v>234</v>
      </c>
      <c r="B38" s="8" t="s">
        <v>235</v>
      </c>
      <c r="C38" s="8" t="s">
        <v>223</v>
      </c>
      <c r="D38" s="8" t="str">
        <f>IFERROR(IF('IP Input Sheet'!D9&lt;&gt;"",'IP Input Sheet'!D9,IF('IP Input Sheet'!E9&lt;&gt;"",'IP Input Sheet'!E9,'IP Input Sheet'!F9)),"[Enter IP]")</f>
        <v>10.5.25.64/26</v>
      </c>
      <c r="E38" s="8" t="s">
        <v>60</v>
      </c>
      <c r="F38" s="8">
        <f>'IP Input Sheet'!D24</f>
        <v>0</v>
      </c>
      <c r="G38" s="8" t="s">
        <v>117</v>
      </c>
      <c r="H38" s="8" t="s">
        <v>98</v>
      </c>
      <c r="I38" s="8" t="s">
        <v>236</v>
      </c>
      <c r="J38" s="9" t="s">
        <v>100</v>
      </c>
      <c r="K38" s="10" t="s">
        <v>101</v>
      </c>
      <c r="L38" s="8" t="s">
        <v>102</v>
      </c>
      <c r="M38" s="8"/>
    </row>
    <row r="39" spans="1:13" ht="18" customHeight="1" x14ac:dyDescent="0.2">
      <c r="A39" s="11" t="s">
        <v>237</v>
      </c>
      <c r="B39" s="11" t="s">
        <v>238</v>
      </c>
      <c r="C39" s="11" t="s">
        <v>223</v>
      </c>
      <c r="D39" s="11" t="str">
        <f>IFERROR(IF('IP Input Sheet'!D9&lt;&gt;"",'IP Input Sheet'!D9,IF('IP Input Sheet'!E9&lt;&gt;"",'IP Input Sheet'!E9,'IP Input Sheet'!F9)),"[Enter IP]")</f>
        <v>10.5.25.64/26</v>
      </c>
      <c r="E39" s="11" t="s">
        <v>64</v>
      </c>
      <c r="F39" s="11">
        <f>'IP Input Sheet'!D25</f>
        <v>0</v>
      </c>
      <c r="G39" s="11" t="s">
        <v>123</v>
      </c>
      <c r="H39" s="11" t="s">
        <v>124</v>
      </c>
      <c r="I39" s="11" t="s">
        <v>239</v>
      </c>
      <c r="J39" s="9" t="s">
        <v>100</v>
      </c>
      <c r="K39" s="10" t="s">
        <v>101</v>
      </c>
      <c r="L39" s="11" t="s">
        <v>102</v>
      </c>
      <c r="M39" s="11"/>
    </row>
    <row r="40" spans="1:13" ht="18" customHeight="1" x14ac:dyDescent="0.2">
      <c r="A40" s="8" t="s">
        <v>240</v>
      </c>
      <c r="B40" s="8" t="s">
        <v>241</v>
      </c>
      <c r="C40" s="8" t="s">
        <v>223</v>
      </c>
      <c r="D40" s="8" t="str">
        <f>IFERROR(IF('IP Input Sheet'!D9&lt;&gt;"",'IP Input Sheet'!D9,IF('IP Input Sheet'!E9&lt;&gt;"",'IP Input Sheet'!E9,'IP Input Sheet'!F9)),"[Enter IP]")</f>
        <v>10.5.25.64/26</v>
      </c>
      <c r="E40" s="8" t="s">
        <v>242</v>
      </c>
      <c r="F40" s="8" t="s">
        <v>243</v>
      </c>
      <c r="G40" s="8" t="s">
        <v>244</v>
      </c>
      <c r="H40" s="8" t="s">
        <v>98</v>
      </c>
      <c r="I40" s="8" t="s">
        <v>245</v>
      </c>
      <c r="J40" s="9" t="s">
        <v>100</v>
      </c>
      <c r="K40" s="10" t="s">
        <v>101</v>
      </c>
      <c r="L40" s="8" t="s">
        <v>102</v>
      </c>
      <c r="M40" s="8" t="s">
        <v>246</v>
      </c>
    </row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1000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4" customWidth="1"/>
    <col min="10" max="10" width="8" customWidth="1"/>
    <col min="11" max="12" width="14" customWidth="1"/>
    <col min="13" max="13" width="38" customWidth="1"/>
    <col min="14" max="26" width="8.6640625" customWidth="1"/>
  </cols>
  <sheetData>
    <row r="1" spans="1:13" ht="27.75" customHeight="1" x14ac:dyDescent="0.2">
      <c r="A1" s="21" t="s">
        <v>247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8" customHeight="1" x14ac:dyDescent="0.2">
      <c r="A2" s="19" t="s">
        <v>82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27.75" customHeight="1" x14ac:dyDescent="0.2">
      <c r="A3" s="1" t="s">
        <v>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</row>
    <row r="4" spans="1:13" ht="18" customHeight="1" x14ac:dyDescent="0.2">
      <c r="A4" s="8" t="s">
        <v>248</v>
      </c>
      <c r="B4" s="8" t="s">
        <v>249</v>
      </c>
      <c r="C4" s="8" t="s">
        <v>31</v>
      </c>
      <c r="D4" s="8" t="str">
        <f>IFERROR(IF('IP Input Sheet'!D13&lt;&gt;"",'IP Input Sheet'!D13,IF('IP Input Sheet'!E13&lt;&gt;"",'IP Input Sheet'!E13,'IP Input Sheet'!F13)),"[Enter IP]")</f>
        <v>10.3.118.18</v>
      </c>
      <c r="E4" s="8" t="s">
        <v>250</v>
      </c>
      <c r="F4" s="8" t="str">
        <f>IFERROR(IF('IP Input Sheet'!D5&lt;&gt;"",'IP Input Sheet'!D5,IF('IP Input Sheet'!E5&lt;&gt;"",'IP Input Sheet'!E5,'IP Input Sheet'!F5)),"[Enter IP]")</f>
        <v>10.3.118.28</v>
      </c>
      <c r="G4" s="8" t="s">
        <v>97</v>
      </c>
      <c r="H4" s="8" t="s">
        <v>98</v>
      </c>
      <c r="I4" s="8" t="s">
        <v>251</v>
      </c>
      <c r="J4" s="9" t="s">
        <v>100</v>
      </c>
      <c r="K4" s="10" t="s">
        <v>101</v>
      </c>
      <c r="L4" s="8" t="s">
        <v>102</v>
      </c>
      <c r="M4" s="8" t="s">
        <v>252</v>
      </c>
    </row>
    <row r="5" spans="1:13" ht="18" customHeight="1" x14ac:dyDescent="0.2">
      <c r="A5" s="11" t="s">
        <v>253</v>
      </c>
      <c r="B5" s="11" t="s">
        <v>254</v>
      </c>
      <c r="C5" s="11" t="s">
        <v>31</v>
      </c>
      <c r="D5" s="11" t="str">
        <f>IFERROR(IF('IP Input Sheet'!D13&lt;&gt;"",'IP Input Sheet'!D13,IF('IP Input Sheet'!E13&lt;&gt;"",'IP Input Sheet'!E13,'IP Input Sheet'!F13)),"[Enter IP]")</f>
        <v>10.3.118.18</v>
      </c>
      <c r="E5" s="11" t="s">
        <v>12</v>
      </c>
      <c r="F5" s="11" t="str">
        <f>IFERROR(IF('IP Input Sheet'!D6&lt;&gt;"",'IP Input Sheet'!D6,IF('IP Input Sheet'!E6&lt;&gt;"",'IP Input Sheet'!E6,'IP Input Sheet'!F6)),"[Enter IP]")</f>
        <v>10.5.25.64/26</v>
      </c>
      <c r="G5" s="11" t="s">
        <v>97</v>
      </c>
      <c r="H5" s="11" t="s">
        <v>98</v>
      </c>
      <c r="I5" s="11" t="s">
        <v>255</v>
      </c>
      <c r="J5" s="9" t="s">
        <v>100</v>
      </c>
      <c r="K5" s="10" t="s">
        <v>101</v>
      </c>
      <c r="L5" s="11" t="s">
        <v>107</v>
      </c>
      <c r="M5" s="11"/>
    </row>
    <row r="6" spans="1:13" ht="18" customHeight="1" x14ac:dyDescent="0.2">
      <c r="A6" s="8" t="s">
        <v>256</v>
      </c>
      <c r="B6" s="8" t="s">
        <v>257</v>
      </c>
      <c r="C6" s="8" t="s">
        <v>31</v>
      </c>
      <c r="D6" s="8" t="str">
        <f>IFERROR(IF('IP Input Sheet'!D13&lt;&gt;"",'IP Input Sheet'!D13,IF('IP Input Sheet'!E13&lt;&gt;"",'IP Input Sheet'!E13,'IP Input Sheet'!F13)),"[Enter IP]")</f>
        <v>10.3.118.18</v>
      </c>
      <c r="E6" s="8" t="s">
        <v>12</v>
      </c>
      <c r="F6" s="8" t="str">
        <f>IFERROR(IF('IP Input Sheet'!D6&lt;&gt;"",'IP Input Sheet'!D6,IF('IP Input Sheet'!E6&lt;&gt;"",'IP Input Sheet'!E6,'IP Input Sheet'!F6)),"[Enter IP]")</f>
        <v>10.5.25.64/26</v>
      </c>
      <c r="G6" s="8" t="s">
        <v>258</v>
      </c>
      <c r="H6" s="8" t="s">
        <v>98</v>
      </c>
      <c r="I6" s="8" t="s">
        <v>259</v>
      </c>
      <c r="J6" s="9" t="s">
        <v>100</v>
      </c>
      <c r="K6" s="10" t="s">
        <v>101</v>
      </c>
      <c r="L6" s="8" t="s">
        <v>102</v>
      </c>
      <c r="M6" s="8"/>
    </row>
    <row r="7" spans="1:13" ht="18" customHeight="1" x14ac:dyDescent="0.2">
      <c r="A7" s="11" t="s">
        <v>260</v>
      </c>
      <c r="B7" s="11" t="s">
        <v>261</v>
      </c>
      <c r="C7" s="11" t="s">
        <v>31</v>
      </c>
      <c r="D7" s="11" t="str">
        <f>IFERROR(IF('IP Input Sheet'!D13&lt;&gt;"",'IP Input Sheet'!D13,IF('IP Input Sheet'!E13&lt;&gt;"",'IP Input Sheet'!E13,'IP Input Sheet'!F13)),"[Enter IP]")</f>
        <v>10.3.118.18</v>
      </c>
      <c r="E7" s="11" t="s">
        <v>15</v>
      </c>
      <c r="F7" s="11" t="str">
        <f>IFERROR(IF('IP Input Sheet'!D7&lt;&gt;"",'IP Input Sheet'!D7,IF('IP Input Sheet'!E7&lt;&gt;"",'IP Input Sheet'!E7,'IP Input Sheet'!F7)),"[Enter IP]")</f>
        <v>10.5.25.64/26</v>
      </c>
      <c r="G7" s="11" t="s">
        <v>97</v>
      </c>
      <c r="H7" s="11" t="s">
        <v>98</v>
      </c>
      <c r="I7" s="11" t="s">
        <v>262</v>
      </c>
      <c r="J7" s="9" t="s">
        <v>100</v>
      </c>
      <c r="K7" s="10" t="s">
        <v>101</v>
      </c>
      <c r="L7" s="11" t="s">
        <v>107</v>
      </c>
      <c r="M7" s="11"/>
    </row>
    <row r="8" spans="1:13" ht="18" customHeight="1" x14ac:dyDescent="0.2">
      <c r="A8" s="8" t="s">
        <v>263</v>
      </c>
      <c r="B8" s="8" t="s">
        <v>264</v>
      </c>
      <c r="C8" s="8" t="s">
        <v>31</v>
      </c>
      <c r="D8" s="8" t="str">
        <f>IFERROR(IF('IP Input Sheet'!D13&lt;&gt;"",'IP Input Sheet'!D13,IF('IP Input Sheet'!E13&lt;&gt;"",'IP Input Sheet'!E13,'IP Input Sheet'!F13)),"[Enter IP]")</f>
        <v>10.3.118.18</v>
      </c>
      <c r="E8" s="8" t="s">
        <v>265</v>
      </c>
      <c r="F8" s="8" t="str">
        <f>IFERROR(IF('IP Input Sheet'!D8&lt;&gt;"",'IP Input Sheet'!D8,IF('IP Input Sheet'!E8&lt;&gt;"",'IP Input Sheet'!E8,'IP Input Sheet'!F8)),"[Enter IP]")</f>
        <v>10.5.25.64/26</v>
      </c>
      <c r="G8" s="8" t="s">
        <v>266</v>
      </c>
      <c r="H8" s="8" t="s">
        <v>118</v>
      </c>
      <c r="I8" s="8" t="s">
        <v>267</v>
      </c>
      <c r="J8" s="9" t="s">
        <v>100</v>
      </c>
      <c r="K8" s="10" t="s">
        <v>101</v>
      </c>
      <c r="L8" s="8" t="s">
        <v>102</v>
      </c>
      <c r="M8" s="8"/>
    </row>
    <row r="9" spans="1:13" ht="18" customHeight="1" x14ac:dyDescent="0.2">
      <c r="A9" s="11" t="s">
        <v>268</v>
      </c>
      <c r="B9" s="11" t="s">
        <v>269</v>
      </c>
      <c r="C9" s="11" t="s">
        <v>31</v>
      </c>
      <c r="D9" s="11" t="str">
        <f>IFERROR(IF('IP Input Sheet'!D13&lt;&gt;"",'IP Input Sheet'!D13,IF('IP Input Sheet'!E13&lt;&gt;"",'IP Input Sheet'!E13,'IP Input Sheet'!F13)),"[Enter IP]")</f>
        <v>10.3.118.18</v>
      </c>
      <c r="E9" s="11" t="s">
        <v>265</v>
      </c>
      <c r="F9" s="11" t="str">
        <f>IFERROR(IF('IP Input Sheet'!D8&lt;&gt;"",'IP Input Sheet'!D8,IF('IP Input Sheet'!E8&lt;&gt;"",'IP Input Sheet'!E8,'IP Input Sheet'!F8)),"[Enter IP]")</f>
        <v>10.5.25.64/26</v>
      </c>
      <c r="G9" s="11" t="s">
        <v>270</v>
      </c>
      <c r="H9" s="11" t="s">
        <v>98</v>
      </c>
      <c r="I9" s="11" t="s">
        <v>271</v>
      </c>
      <c r="J9" s="9" t="s">
        <v>100</v>
      </c>
      <c r="K9" s="10" t="s">
        <v>101</v>
      </c>
      <c r="L9" s="11" t="s">
        <v>102</v>
      </c>
      <c r="M9" s="11"/>
    </row>
    <row r="10" spans="1:13" ht="18" customHeight="1" x14ac:dyDescent="0.2">
      <c r="A10" s="8" t="s">
        <v>272</v>
      </c>
      <c r="B10" s="8" t="s">
        <v>273</v>
      </c>
      <c r="C10" s="8" t="s">
        <v>31</v>
      </c>
      <c r="D10" s="8" t="str">
        <f>IFERROR(IF('IP Input Sheet'!D13&lt;&gt;"",'IP Input Sheet'!D13,IF('IP Input Sheet'!E13&lt;&gt;"",'IP Input Sheet'!E13,'IP Input Sheet'!F13)),"[Enter IP]")</f>
        <v>10.3.118.18</v>
      </c>
      <c r="E10" s="8" t="s">
        <v>274</v>
      </c>
      <c r="F10" s="8" t="str">
        <f>IFERROR(IF('IP Input Sheet'!D9&lt;&gt;"",'IP Input Sheet'!D9,IF('IP Input Sheet'!E9&lt;&gt;"",'IP Input Sheet'!E9,'IP Input Sheet'!F9)),"[Enter IP]")</f>
        <v>10.5.25.64/26</v>
      </c>
      <c r="G10" s="8" t="s">
        <v>224</v>
      </c>
      <c r="H10" s="8" t="s">
        <v>124</v>
      </c>
      <c r="I10" s="8" t="s">
        <v>275</v>
      </c>
      <c r="J10" s="9" t="s">
        <v>100</v>
      </c>
      <c r="K10" s="10" t="s">
        <v>101</v>
      </c>
      <c r="L10" s="8" t="s">
        <v>102</v>
      </c>
      <c r="M10" s="8" t="s">
        <v>276</v>
      </c>
    </row>
    <row r="11" spans="1:13" ht="18" customHeight="1" x14ac:dyDescent="0.2">
      <c r="A11" s="11" t="s">
        <v>277</v>
      </c>
      <c r="B11" s="11" t="s">
        <v>278</v>
      </c>
      <c r="C11" s="11" t="s">
        <v>113</v>
      </c>
      <c r="D11" s="11" t="str">
        <f>IFERROR(IF('IP Input Sheet'!D14&lt;&gt;"",'IP Input Sheet'!D14,IF('IP Input Sheet'!E14&lt;&gt;"",'IP Input Sheet'!E14,'IP Input Sheet'!F14)),"[Enter IP]")</f>
        <v>10.3.118.0/24</v>
      </c>
      <c r="E11" s="11" t="s">
        <v>12</v>
      </c>
      <c r="F11" s="11" t="str">
        <f>IFERROR(IF('IP Input Sheet'!D6&lt;&gt;"",'IP Input Sheet'!D6,IF('IP Input Sheet'!E6&lt;&gt;"",'IP Input Sheet'!E6,'IP Input Sheet'!F6)),"[Enter IP]")</f>
        <v>10.5.25.64/26</v>
      </c>
      <c r="G11" s="11" t="s">
        <v>97</v>
      </c>
      <c r="H11" s="11" t="s">
        <v>98</v>
      </c>
      <c r="I11" s="11" t="s">
        <v>279</v>
      </c>
      <c r="J11" s="9" t="s">
        <v>100</v>
      </c>
      <c r="K11" s="10" t="s">
        <v>101</v>
      </c>
      <c r="L11" s="11" t="s">
        <v>102</v>
      </c>
      <c r="M11" s="11"/>
    </row>
    <row r="12" spans="1:13" ht="18" customHeight="1" x14ac:dyDescent="0.2">
      <c r="A12" s="8" t="s">
        <v>280</v>
      </c>
      <c r="B12" s="8" t="s">
        <v>281</v>
      </c>
      <c r="C12" s="8" t="s">
        <v>113</v>
      </c>
      <c r="D12" s="8" t="str">
        <f>IFERROR(IF('IP Input Sheet'!D14&lt;&gt;"",'IP Input Sheet'!D14,IF('IP Input Sheet'!E14&lt;&gt;"",'IP Input Sheet'!E14,'IP Input Sheet'!F14)),"[Enter IP]")</f>
        <v>10.3.118.0/24</v>
      </c>
      <c r="E12" s="8" t="s">
        <v>265</v>
      </c>
      <c r="F12" s="8" t="str">
        <f>IFERROR(IF('IP Input Sheet'!D8&lt;&gt;"",'IP Input Sheet'!D8,IF('IP Input Sheet'!E8&lt;&gt;"",'IP Input Sheet'!E8,'IP Input Sheet'!F8)),"[Enter IP]")</f>
        <v>10.5.25.64/26</v>
      </c>
      <c r="G12" s="8" t="s">
        <v>266</v>
      </c>
      <c r="H12" s="8" t="s">
        <v>118</v>
      </c>
      <c r="I12" s="8" t="s">
        <v>282</v>
      </c>
      <c r="J12" s="9" t="s">
        <v>100</v>
      </c>
      <c r="K12" s="10" t="s">
        <v>101</v>
      </c>
      <c r="L12" s="8" t="s">
        <v>102</v>
      </c>
      <c r="M12" s="8"/>
    </row>
    <row r="13" spans="1:13" ht="18" customHeight="1" x14ac:dyDescent="0.2">
      <c r="A13" s="11" t="s">
        <v>283</v>
      </c>
      <c r="B13" s="11" t="s">
        <v>284</v>
      </c>
      <c r="C13" s="11" t="s">
        <v>113</v>
      </c>
      <c r="D13" s="11" t="str">
        <f>IFERROR(IF('IP Input Sheet'!D14&lt;&gt;"",'IP Input Sheet'!D14,IF('IP Input Sheet'!E14&lt;&gt;"",'IP Input Sheet'!E14,'IP Input Sheet'!F14)),"[Enter IP]")</f>
        <v>10.3.118.0/24</v>
      </c>
      <c r="E13" s="11" t="s">
        <v>265</v>
      </c>
      <c r="F13" s="11" t="str">
        <f>IFERROR(IF('IP Input Sheet'!D8&lt;&gt;"",'IP Input Sheet'!D8,IF('IP Input Sheet'!E8&lt;&gt;"",'IP Input Sheet'!E8,'IP Input Sheet'!F8)),"[Enter IP]")</f>
        <v>10.5.25.64/26</v>
      </c>
      <c r="G13" s="11" t="s">
        <v>285</v>
      </c>
      <c r="H13" s="11" t="s">
        <v>98</v>
      </c>
      <c r="I13" s="11" t="s">
        <v>271</v>
      </c>
      <c r="J13" s="9" t="s">
        <v>100</v>
      </c>
      <c r="K13" s="10" t="s">
        <v>101</v>
      </c>
      <c r="L13" s="11" t="s">
        <v>102</v>
      </c>
      <c r="M13" s="11"/>
    </row>
    <row r="14" spans="1:13" ht="18" customHeight="1" x14ac:dyDescent="0.2">
      <c r="A14" s="8" t="s">
        <v>286</v>
      </c>
      <c r="B14" s="8" t="s">
        <v>287</v>
      </c>
      <c r="C14" s="8" t="s">
        <v>40</v>
      </c>
      <c r="D14" s="8" t="str">
        <f>IFERROR(IF('IP Input Sheet'!D16&lt;&gt;"",'IP Input Sheet'!D16,IF('IP Input Sheet'!E16&lt;&gt;"",'IP Input Sheet'!E16,'IP Input Sheet'!F16)),"[Enter IP]")</f>
        <v>10.3.118.30</v>
      </c>
      <c r="E14" s="8" t="s">
        <v>250</v>
      </c>
      <c r="F14" s="8" t="str">
        <f>IFERROR(IF('IP Input Sheet'!D5&lt;&gt;"",'IP Input Sheet'!D5,IF('IP Input Sheet'!E5&lt;&gt;"",'IP Input Sheet'!E5,'IP Input Sheet'!F5)),"[Enter IP]")</f>
        <v>10.3.118.28</v>
      </c>
      <c r="G14" s="8" t="s">
        <v>97</v>
      </c>
      <c r="H14" s="8" t="s">
        <v>98</v>
      </c>
      <c r="I14" s="8" t="s">
        <v>288</v>
      </c>
      <c r="J14" s="9" t="s">
        <v>100</v>
      </c>
      <c r="K14" s="10" t="s">
        <v>101</v>
      </c>
      <c r="L14" s="8" t="s">
        <v>102</v>
      </c>
      <c r="M14" s="8"/>
    </row>
    <row r="15" spans="1:13" ht="18" customHeight="1" x14ac:dyDescent="0.2">
      <c r="A15" s="11" t="s">
        <v>289</v>
      </c>
      <c r="B15" s="11" t="s">
        <v>290</v>
      </c>
      <c r="C15" s="11" t="s">
        <v>40</v>
      </c>
      <c r="D15" s="11" t="str">
        <f>IFERROR(IF('IP Input Sheet'!D16&lt;&gt;"",'IP Input Sheet'!D16,IF('IP Input Sheet'!E16&lt;&gt;"",'IP Input Sheet'!E16,'IP Input Sheet'!F16)),"[Enter IP]")</f>
        <v>10.3.118.30</v>
      </c>
      <c r="E15" s="11" t="s">
        <v>250</v>
      </c>
      <c r="F15" s="11" t="str">
        <f>IFERROR(IF('IP Input Sheet'!D5&lt;&gt;"",'IP Input Sheet'!D5,IF('IP Input Sheet'!E5&lt;&gt;"",'IP Input Sheet'!E5,'IP Input Sheet'!F5)),"[Enter IP]")</f>
        <v>10.3.118.28</v>
      </c>
      <c r="G15" s="11" t="s">
        <v>133</v>
      </c>
      <c r="H15" s="11" t="s">
        <v>98</v>
      </c>
      <c r="I15" s="11" t="s">
        <v>291</v>
      </c>
      <c r="J15" s="9" t="s">
        <v>100</v>
      </c>
      <c r="K15" s="10" t="s">
        <v>101</v>
      </c>
      <c r="L15" s="11" t="s">
        <v>102</v>
      </c>
      <c r="M15" s="11" t="s">
        <v>135</v>
      </c>
    </row>
    <row r="16" spans="1:13" ht="18" customHeight="1" x14ac:dyDescent="0.2">
      <c r="A16" s="8" t="s">
        <v>292</v>
      </c>
      <c r="B16" s="8" t="s">
        <v>293</v>
      </c>
      <c r="C16" s="8" t="s">
        <v>40</v>
      </c>
      <c r="D16" s="8" t="str">
        <f>IFERROR(IF('IP Input Sheet'!D16&lt;&gt;"",'IP Input Sheet'!D16,IF('IP Input Sheet'!E16&lt;&gt;"",'IP Input Sheet'!E16,'IP Input Sheet'!F16)),"[Enter IP]")</f>
        <v>10.3.118.30</v>
      </c>
      <c r="E16" s="8" t="s">
        <v>15</v>
      </c>
      <c r="F16" s="8" t="str">
        <f>IFERROR(IF('IP Input Sheet'!D7&lt;&gt;"",'IP Input Sheet'!D7,IF('IP Input Sheet'!E7&lt;&gt;"",'IP Input Sheet'!E7,'IP Input Sheet'!F7)),"[Enter IP]")</f>
        <v>10.5.25.64/26</v>
      </c>
      <c r="G16" s="8" t="s">
        <v>97</v>
      </c>
      <c r="H16" s="8" t="s">
        <v>98</v>
      </c>
      <c r="I16" s="8" t="s">
        <v>294</v>
      </c>
      <c r="J16" s="9" t="s">
        <v>100</v>
      </c>
      <c r="K16" s="10" t="s">
        <v>101</v>
      </c>
      <c r="L16" s="8" t="s">
        <v>102</v>
      </c>
      <c r="M16" s="8"/>
    </row>
    <row r="17" spans="1:13" ht="18" customHeight="1" x14ac:dyDescent="0.2">
      <c r="A17" s="11" t="s">
        <v>295</v>
      </c>
      <c r="B17" s="11" t="s">
        <v>296</v>
      </c>
      <c r="C17" s="11" t="s">
        <v>40</v>
      </c>
      <c r="D17" s="11" t="str">
        <f>IFERROR(IF('IP Input Sheet'!D16&lt;&gt;"",'IP Input Sheet'!D16,IF('IP Input Sheet'!E16&lt;&gt;"",'IP Input Sheet'!E16,'IP Input Sheet'!F16)),"[Enter IP]")</f>
        <v>10.3.118.30</v>
      </c>
      <c r="E17" s="11" t="s">
        <v>15</v>
      </c>
      <c r="F17" s="11" t="str">
        <f>IFERROR(IF('IP Input Sheet'!D7&lt;&gt;"",'IP Input Sheet'!D7,IF('IP Input Sheet'!E7&lt;&gt;"",'IP Input Sheet'!E7,'IP Input Sheet'!F7)),"[Enter IP]")</f>
        <v>10.5.25.64/26</v>
      </c>
      <c r="G17" s="11" t="s">
        <v>133</v>
      </c>
      <c r="H17" s="11" t="s">
        <v>98</v>
      </c>
      <c r="I17" s="11" t="s">
        <v>297</v>
      </c>
      <c r="J17" s="9" t="s">
        <v>100</v>
      </c>
      <c r="K17" s="10" t="s">
        <v>101</v>
      </c>
      <c r="L17" s="11" t="s">
        <v>102</v>
      </c>
      <c r="M17" s="11" t="s">
        <v>135</v>
      </c>
    </row>
    <row r="18" spans="1:13" ht="18" customHeight="1" x14ac:dyDescent="0.2">
      <c r="A18" s="8" t="s">
        <v>298</v>
      </c>
      <c r="B18" s="8" t="s">
        <v>299</v>
      </c>
      <c r="C18" s="8" t="s">
        <v>40</v>
      </c>
      <c r="D18" s="8" t="str">
        <f>IFERROR(IF('IP Input Sheet'!D16&lt;&gt;"",'IP Input Sheet'!D16,IF('IP Input Sheet'!E16&lt;&gt;"",'IP Input Sheet'!E16,'IP Input Sheet'!F16)),"[Enter IP]")</f>
        <v>10.3.118.30</v>
      </c>
      <c r="E18" s="8" t="s">
        <v>12</v>
      </c>
      <c r="F18" s="8" t="str">
        <f>IFERROR(IF('IP Input Sheet'!D6&lt;&gt;"",'IP Input Sheet'!D6,IF('IP Input Sheet'!E6&lt;&gt;"",'IP Input Sheet'!E6,'IP Input Sheet'!F6)),"[Enter IP]")</f>
        <v>10.5.25.64/26</v>
      </c>
      <c r="G18" s="8" t="s">
        <v>97</v>
      </c>
      <c r="H18" s="8" t="s">
        <v>98</v>
      </c>
      <c r="I18" s="8" t="s">
        <v>300</v>
      </c>
      <c r="J18" s="9" t="s">
        <v>100</v>
      </c>
      <c r="K18" s="10" t="s">
        <v>101</v>
      </c>
      <c r="L18" s="8" t="s">
        <v>102</v>
      </c>
      <c r="M18" s="8"/>
    </row>
    <row r="19" spans="1:13" ht="18" customHeight="1" x14ac:dyDescent="0.2">
      <c r="A19" s="11" t="s">
        <v>301</v>
      </c>
      <c r="B19" s="11" t="s">
        <v>302</v>
      </c>
      <c r="C19" s="11" t="s">
        <v>40</v>
      </c>
      <c r="D19" s="11" t="str">
        <f>IFERROR(IF('IP Input Sheet'!D16&lt;&gt;"",'IP Input Sheet'!D16,IF('IP Input Sheet'!E16&lt;&gt;"",'IP Input Sheet'!E16,'IP Input Sheet'!F16)),"[Enter IP]")</f>
        <v>10.3.118.30</v>
      </c>
      <c r="E19" s="11" t="s">
        <v>12</v>
      </c>
      <c r="F19" s="11" t="str">
        <f>IFERROR(IF('IP Input Sheet'!D6&lt;&gt;"",'IP Input Sheet'!D6,IF('IP Input Sheet'!E6&lt;&gt;"",'IP Input Sheet'!E6,'IP Input Sheet'!F6)),"[Enter IP]")</f>
        <v>10.5.25.64/26</v>
      </c>
      <c r="G19" s="11" t="s">
        <v>133</v>
      </c>
      <c r="H19" s="11" t="s">
        <v>98</v>
      </c>
      <c r="I19" s="11" t="s">
        <v>303</v>
      </c>
      <c r="J19" s="9" t="s">
        <v>100</v>
      </c>
      <c r="K19" s="10" t="s">
        <v>101</v>
      </c>
      <c r="L19" s="11" t="s">
        <v>102</v>
      </c>
      <c r="M19" s="11" t="s">
        <v>135</v>
      </c>
    </row>
    <row r="20" spans="1:13" ht="18" customHeight="1" x14ac:dyDescent="0.2">
      <c r="A20" s="8" t="s">
        <v>304</v>
      </c>
      <c r="B20" s="8" t="s">
        <v>305</v>
      </c>
      <c r="C20" s="8" t="s">
        <v>40</v>
      </c>
      <c r="D20" s="8" t="str">
        <f>IFERROR(IF('IP Input Sheet'!D16&lt;&gt;"",'IP Input Sheet'!D16,IF('IP Input Sheet'!E16&lt;&gt;"",'IP Input Sheet'!E16,'IP Input Sheet'!F16)),"[Enter IP]")</f>
        <v>10.3.118.30</v>
      </c>
      <c r="E20" s="8" t="s">
        <v>265</v>
      </c>
      <c r="F20" s="8" t="str">
        <f>IFERROR(IF('IP Input Sheet'!D8&lt;&gt;"",'IP Input Sheet'!D8,IF('IP Input Sheet'!E8&lt;&gt;"",'IP Input Sheet'!E8,'IP Input Sheet'!F8)),"[Enter IP]")</f>
        <v>10.5.25.64/26</v>
      </c>
      <c r="G20" s="8" t="s">
        <v>266</v>
      </c>
      <c r="H20" s="8" t="s">
        <v>98</v>
      </c>
      <c r="I20" s="8" t="s">
        <v>306</v>
      </c>
      <c r="J20" s="9" t="s">
        <v>100</v>
      </c>
      <c r="K20" s="10" t="s">
        <v>101</v>
      </c>
      <c r="L20" s="8" t="s">
        <v>102</v>
      </c>
      <c r="M20" s="8"/>
    </row>
    <row r="21" spans="1:13" ht="18" customHeight="1" x14ac:dyDescent="0.2">
      <c r="A21" s="11" t="s">
        <v>307</v>
      </c>
      <c r="B21" s="11" t="s">
        <v>308</v>
      </c>
      <c r="C21" s="11" t="s">
        <v>40</v>
      </c>
      <c r="D21" s="11" t="str">
        <f>IFERROR(IF('IP Input Sheet'!D16&lt;&gt;"",'IP Input Sheet'!D16,IF('IP Input Sheet'!E16&lt;&gt;"",'IP Input Sheet'!E16,'IP Input Sheet'!F16)),"[Enter IP]")</f>
        <v>10.3.118.30</v>
      </c>
      <c r="E21" s="11" t="s">
        <v>265</v>
      </c>
      <c r="F21" s="11" t="str">
        <f>IFERROR(IF('IP Input Sheet'!D8&lt;&gt;"",'IP Input Sheet'!D8,IF('IP Input Sheet'!E8&lt;&gt;"",'IP Input Sheet'!E8,'IP Input Sheet'!F8)),"[Enter IP]")</f>
        <v>10.5.25.64/26</v>
      </c>
      <c r="G21" s="11" t="s">
        <v>309</v>
      </c>
      <c r="H21" s="11" t="s">
        <v>98</v>
      </c>
      <c r="I21" s="11" t="s">
        <v>310</v>
      </c>
      <c r="J21" s="9" t="s">
        <v>100</v>
      </c>
      <c r="K21" s="10" t="s">
        <v>101</v>
      </c>
      <c r="L21" s="11" t="s">
        <v>102</v>
      </c>
      <c r="M21" s="11"/>
    </row>
    <row r="22" spans="1:13" ht="18" customHeight="1" x14ac:dyDescent="0.2">
      <c r="A22" s="8" t="s">
        <v>311</v>
      </c>
      <c r="B22" s="8" t="s">
        <v>312</v>
      </c>
      <c r="C22" s="8" t="s">
        <v>40</v>
      </c>
      <c r="D22" s="8" t="str">
        <f>IFERROR(IF('IP Input Sheet'!D16&lt;&gt;"",'IP Input Sheet'!D16,IF('IP Input Sheet'!E16&lt;&gt;"",'IP Input Sheet'!E16,'IP Input Sheet'!F16)),"[Enter IP]")</f>
        <v>10.3.118.30</v>
      </c>
      <c r="E22" s="8" t="s">
        <v>265</v>
      </c>
      <c r="F22" s="8" t="str">
        <f>IFERROR(IF('IP Input Sheet'!D8&lt;&gt;"",'IP Input Sheet'!D8,IF('IP Input Sheet'!E8&lt;&gt;"",'IP Input Sheet'!E8,'IP Input Sheet'!F8)),"[Enter IP]")</f>
        <v>10.5.25.64/26</v>
      </c>
      <c r="G22" s="8" t="s">
        <v>97</v>
      </c>
      <c r="H22" s="8" t="s">
        <v>98</v>
      </c>
      <c r="I22" s="8" t="s">
        <v>313</v>
      </c>
      <c r="J22" s="9" t="s">
        <v>100</v>
      </c>
      <c r="K22" s="10" t="s">
        <v>101</v>
      </c>
      <c r="L22" s="8" t="s">
        <v>102</v>
      </c>
      <c r="M22" s="8"/>
    </row>
    <row r="23" spans="1:13" ht="18" customHeight="1" x14ac:dyDescent="0.2">
      <c r="A23" s="11" t="s">
        <v>314</v>
      </c>
      <c r="B23" s="11" t="s">
        <v>315</v>
      </c>
      <c r="C23" s="11" t="s">
        <v>40</v>
      </c>
      <c r="D23" s="11" t="str">
        <f>IFERROR(IF('IP Input Sheet'!D16&lt;&gt;"",'IP Input Sheet'!D16,IF('IP Input Sheet'!E16&lt;&gt;"",'IP Input Sheet'!E16,'IP Input Sheet'!F16)),"[Enter IP]")</f>
        <v>10.3.118.30</v>
      </c>
      <c r="E23" s="11" t="s">
        <v>265</v>
      </c>
      <c r="F23" s="11" t="str">
        <f>IFERROR(IF('IP Input Sheet'!D8&lt;&gt;"",'IP Input Sheet'!D8,IF('IP Input Sheet'!E8&lt;&gt;"",'IP Input Sheet'!E8,'IP Input Sheet'!F8)),"[Enter IP]")</f>
        <v>10.5.25.64/26</v>
      </c>
      <c r="G23" s="11" t="s">
        <v>316</v>
      </c>
      <c r="H23" s="11" t="s">
        <v>98</v>
      </c>
      <c r="I23" s="11" t="s">
        <v>317</v>
      </c>
      <c r="J23" s="9" t="s">
        <v>100</v>
      </c>
      <c r="K23" s="10" t="s">
        <v>101</v>
      </c>
      <c r="L23" s="11" t="s">
        <v>102</v>
      </c>
      <c r="M23" s="11"/>
    </row>
    <row r="24" spans="1:13" ht="18" customHeight="1" x14ac:dyDescent="0.2">
      <c r="A24" s="8" t="s">
        <v>318</v>
      </c>
      <c r="B24" s="8" t="s">
        <v>319</v>
      </c>
      <c r="C24" s="8" t="s">
        <v>40</v>
      </c>
      <c r="D24" s="8" t="str">
        <f>IFERROR(IF('IP Input Sheet'!D16&lt;&gt;"",'IP Input Sheet'!D16,IF('IP Input Sheet'!E16&lt;&gt;"",'IP Input Sheet'!E16,'IP Input Sheet'!F16)),"[Enter IP]")</f>
        <v>10.3.118.30</v>
      </c>
      <c r="E24" s="8" t="s">
        <v>24</v>
      </c>
      <c r="F24" s="8" t="str">
        <f>IFERROR(IF('IP Input Sheet'!D10&lt;&gt;"",'IP Input Sheet'!D10,IF('IP Input Sheet'!E10&lt;&gt;"",'IP Input Sheet'!E10,'IP Input Sheet'!F10)),"[Enter IP]")</f>
        <v>10.3.118.0/24</v>
      </c>
      <c r="G24" s="8" t="s">
        <v>97</v>
      </c>
      <c r="H24" s="8" t="s">
        <v>98</v>
      </c>
      <c r="I24" s="8" t="s">
        <v>320</v>
      </c>
      <c r="J24" s="9" t="s">
        <v>100</v>
      </c>
      <c r="K24" s="10" t="s">
        <v>101</v>
      </c>
      <c r="L24" s="8" t="s">
        <v>102</v>
      </c>
      <c r="M24" s="8" t="s">
        <v>321</v>
      </c>
    </row>
    <row r="25" spans="1:13" ht="18" customHeight="1" x14ac:dyDescent="0.2">
      <c r="A25" s="11" t="s">
        <v>322</v>
      </c>
      <c r="B25" s="11" t="s">
        <v>323</v>
      </c>
      <c r="C25" s="11" t="s">
        <v>40</v>
      </c>
      <c r="D25" s="11" t="str">
        <f>IFERROR(IF('IP Input Sheet'!D16&lt;&gt;"",'IP Input Sheet'!D16,IF('IP Input Sheet'!E16&lt;&gt;"",'IP Input Sheet'!E16,'IP Input Sheet'!F16)),"[Enter IP]")</f>
        <v>10.3.118.30</v>
      </c>
      <c r="E25" s="11" t="s">
        <v>24</v>
      </c>
      <c r="F25" s="11" t="str">
        <f>IFERROR(IF('IP Input Sheet'!D10&lt;&gt;"",'IP Input Sheet'!D10,IF('IP Input Sheet'!E10&lt;&gt;"",'IP Input Sheet'!E10,'IP Input Sheet'!F10)),"[Enter IP]")</f>
        <v>10.3.118.0/24</v>
      </c>
      <c r="G25" s="11" t="s">
        <v>133</v>
      </c>
      <c r="H25" s="11" t="s">
        <v>98</v>
      </c>
      <c r="I25" s="11" t="s">
        <v>324</v>
      </c>
      <c r="J25" s="9" t="s">
        <v>100</v>
      </c>
      <c r="K25" s="10" t="s">
        <v>101</v>
      </c>
      <c r="L25" s="11" t="s">
        <v>102</v>
      </c>
      <c r="M25" s="11" t="s">
        <v>325</v>
      </c>
    </row>
    <row r="26" spans="1:13" ht="18" customHeight="1" x14ac:dyDescent="0.2">
      <c r="A26" s="8" t="s">
        <v>326</v>
      </c>
      <c r="B26" s="8" t="s">
        <v>327</v>
      </c>
      <c r="C26" s="8" t="s">
        <v>128</v>
      </c>
      <c r="D26" s="8" t="str">
        <f>IFERROR(IF('IP Input Sheet'!D20&lt;&gt;"",'IP Input Sheet'!D20,IF('IP Input Sheet'!E20&lt;&gt;"",'IP Input Sheet'!E20,'IP Input Sheet'!F20)),"[Enter IP]")</f>
        <v>10.3.118.0/24</v>
      </c>
      <c r="E26" s="8" t="s">
        <v>265</v>
      </c>
      <c r="F26" s="8" t="str">
        <f>IFERROR(IF('IP Input Sheet'!D8&lt;&gt;"",'IP Input Sheet'!D8,IF('IP Input Sheet'!E8&lt;&gt;"",'IP Input Sheet'!E8,'IP Input Sheet'!F8)),"[Enter IP]")</f>
        <v>10.5.25.64/26</v>
      </c>
      <c r="G26" s="8" t="s">
        <v>266</v>
      </c>
      <c r="H26" s="8" t="s">
        <v>118</v>
      </c>
      <c r="I26" s="8" t="s">
        <v>328</v>
      </c>
      <c r="J26" s="9" t="s">
        <v>100</v>
      </c>
      <c r="K26" s="10" t="s">
        <v>101</v>
      </c>
      <c r="L26" s="8" t="s">
        <v>102</v>
      </c>
      <c r="M26" s="8" t="s">
        <v>329</v>
      </c>
    </row>
    <row r="27" spans="1:13" ht="18" customHeight="1" x14ac:dyDescent="0.2">
      <c r="A27" s="11" t="s">
        <v>330</v>
      </c>
      <c r="B27" s="11" t="s">
        <v>331</v>
      </c>
      <c r="C27" s="11" t="s">
        <v>128</v>
      </c>
      <c r="D27" s="11" t="str">
        <f>IFERROR(IF('IP Input Sheet'!D20&lt;&gt;"",'IP Input Sheet'!D20,IF('IP Input Sheet'!E20&lt;&gt;"",'IP Input Sheet'!E20,'IP Input Sheet'!F20)),"[Enter IP]")</f>
        <v>10.3.118.0/24</v>
      </c>
      <c r="E27" s="11" t="s">
        <v>265</v>
      </c>
      <c r="F27" s="11" t="str">
        <f>IFERROR(IF('IP Input Sheet'!D8&lt;&gt;"",'IP Input Sheet'!D8,IF('IP Input Sheet'!E8&lt;&gt;"",'IP Input Sheet'!E8,'IP Input Sheet'!F8)),"[Enter IP]")</f>
        <v>10.5.25.64/26</v>
      </c>
      <c r="G27" s="11" t="s">
        <v>270</v>
      </c>
      <c r="H27" s="11" t="s">
        <v>98</v>
      </c>
      <c r="I27" s="11" t="s">
        <v>332</v>
      </c>
      <c r="J27" s="9" t="s">
        <v>100</v>
      </c>
      <c r="K27" s="10" t="s">
        <v>101</v>
      </c>
      <c r="L27" s="11" t="s">
        <v>102</v>
      </c>
      <c r="M27" s="11"/>
    </row>
    <row r="28" spans="1:13" ht="18" customHeight="1" x14ac:dyDescent="0.2">
      <c r="A28" s="8" t="s">
        <v>333</v>
      </c>
      <c r="B28" s="8" t="s">
        <v>334</v>
      </c>
      <c r="C28" s="8" t="s">
        <v>128</v>
      </c>
      <c r="D28" s="8" t="str">
        <f>IFERROR(IF('IP Input Sheet'!D20&lt;&gt;"",'IP Input Sheet'!D20,IF('IP Input Sheet'!E20&lt;&gt;"",'IP Input Sheet'!E20,'IP Input Sheet'!F20)),"[Enter IP]")</f>
        <v>10.3.118.0/24</v>
      </c>
      <c r="E28" s="8" t="s">
        <v>274</v>
      </c>
      <c r="F28" s="8" t="str">
        <f>IFERROR(IF('IP Input Sheet'!D9&lt;&gt;"",'IP Input Sheet'!D9,IF('IP Input Sheet'!E9&lt;&gt;"",'IP Input Sheet'!E9,'IP Input Sheet'!F9)),"[Enter IP]")</f>
        <v>10.5.25.64/26</v>
      </c>
      <c r="G28" s="8" t="s">
        <v>229</v>
      </c>
      <c r="H28" s="8" t="s">
        <v>118</v>
      </c>
      <c r="I28" s="8" t="s">
        <v>335</v>
      </c>
      <c r="J28" s="9" t="s">
        <v>100</v>
      </c>
      <c r="K28" s="10" t="s">
        <v>101</v>
      </c>
      <c r="L28" s="8" t="s">
        <v>102</v>
      </c>
      <c r="M28" s="8"/>
    </row>
    <row r="29" spans="1:13" ht="18" customHeight="1" x14ac:dyDescent="0.2">
      <c r="A29" s="11" t="s">
        <v>336</v>
      </c>
      <c r="B29" s="11" t="s">
        <v>337</v>
      </c>
      <c r="C29" s="11" t="s">
        <v>338</v>
      </c>
      <c r="D29" s="11" t="str">
        <f>IFERROR(IF('IP Input Sheet'!D18&lt;&gt;"",'IP Input Sheet'!D18,IF('IP Input Sheet'!E18&lt;&gt;"",'IP Input Sheet'!E18,'IP Input Sheet'!F18)),"[Enter IP]")</f>
        <v>10.3.118.0/24</v>
      </c>
      <c r="E29" s="11" t="s">
        <v>265</v>
      </c>
      <c r="F29" s="11" t="str">
        <f>IFERROR(IF('IP Input Sheet'!D8&lt;&gt;"",'IP Input Sheet'!D8,IF('IP Input Sheet'!E8&lt;&gt;"",'IP Input Sheet'!E8,'IP Input Sheet'!F8)),"[Enter IP]")</f>
        <v>10.5.25.64/26</v>
      </c>
      <c r="G29" s="11" t="s">
        <v>266</v>
      </c>
      <c r="H29" s="11" t="s">
        <v>118</v>
      </c>
      <c r="I29" s="11" t="s">
        <v>339</v>
      </c>
      <c r="J29" s="9" t="s">
        <v>100</v>
      </c>
      <c r="K29" s="10" t="s">
        <v>101</v>
      </c>
      <c r="L29" s="11" t="s">
        <v>102</v>
      </c>
      <c r="M29" s="11"/>
    </row>
    <row r="30" spans="1:13" ht="18" customHeight="1" x14ac:dyDescent="0.2">
      <c r="A30" s="8" t="s">
        <v>340</v>
      </c>
      <c r="B30" s="8" t="s">
        <v>341</v>
      </c>
      <c r="C30" s="8" t="s">
        <v>338</v>
      </c>
      <c r="D30" s="8" t="str">
        <f>IFERROR(IF('IP Input Sheet'!D18&lt;&gt;"",'IP Input Sheet'!D18,IF('IP Input Sheet'!E18&lt;&gt;"",'IP Input Sheet'!E18,'IP Input Sheet'!F18)),"[Enter IP]")</f>
        <v>10.3.118.0/24</v>
      </c>
      <c r="E30" s="8" t="s">
        <v>265</v>
      </c>
      <c r="F30" s="8" t="str">
        <f>IFERROR(IF('IP Input Sheet'!D8&lt;&gt;"",'IP Input Sheet'!D8,IF('IP Input Sheet'!E8&lt;&gt;"",'IP Input Sheet'!E8,'IP Input Sheet'!F8)),"[Enter IP]")</f>
        <v>10.5.25.64/26</v>
      </c>
      <c r="G30" s="8" t="s">
        <v>270</v>
      </c>
      <c r="H30" s="8" t="s">
        <v>98</v>
      </c>
      <c r="I30" s="8" t="s">
        <v>342</v>
      </c>
      <c r="J30" s="9" t="s">
        <v>100</v>
      </c>
      <c r="K30" s="10" t="s">
        <v>101</v>
      </c>
      <c r="L30" s="8" t="s">
        <v>102</v>
      </c>
      <c r="M30" s="8"/>
    </row>
    <row r="31" spans="1:13" ht="18" customHeight="1" x14ac:dyDescent="0.2">
      <c r="A31" s="11" t="s">
        <v>343</v>
      </c>
      <c r="B31" s="11" t="s">
        <v>344</v>
      </c>
      <c r="C31" s="11" t="s">
        <v>345</v>
      </c>
      <c r="D31" s="11" t="s">
        <v>346</v>
      </c>
      <c r="E31" s="11" t="s">
        <v>347</v>
      </c>
      <c r="F31" s="11" t="s">
        <v>348</v>
      </c>
      <c r="G31" s="11" t="s">
        <v>349</v>
      </c>
      <c r="H31" s="11" t="s">
        <v>349</v>
      </c>
      <c r="I31" s="11" t="s">
        <v>350</v>
      </c>
      <c r="J31" s="9" t="s">
        <v>100</v>
      </c>
      <c r="K31" s="10" t="s">
        <v>101</v>
      </c>
      <c r="L31" s="11" t="s">
        <v>107</v>
      </c>
      <c r="M31" s="11" t="s">
        <v>351</v>
      </c>
    </row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M1000"/>
  <sheetViews>
    <sheetView zoomScale="140" zoomScaleNormal="14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4" customWidth="1"/>
    <col min="8" max="8" width="10" customWidth="1"/>
    <col min="9" max="9" width="34" customWidth="1"/>
    <col min="10" max="10" width="8" customWidth="1"/>
    <col min="11" max="12" width="14" customWidth="1"/>
    <col min="13" max="13" width="42" customWidth="1"/>
    <col min="14" max="26" width="8.6640625" customWidth="1"/>
  </cols>
  <sheetData>
    <row r="1" spans="1:13" ht="27.75" customHeight="1" x14ac:dyDescent="0.2">
      <c r="A1" s="21" t="s">
        <v>352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8" customHeight="1" x14ac:dyDescent="0.2">
      <c r="A2" s="19" t="s">
        <v>353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27.75" customHeight="1" x14ac:dyDescent="0.2">
      <c r="A3" s="1" t="s">
        <v>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</row>
    <row r="4" spans="1:13" ht="18" customHeight="1" x14ac:dyDescent="0.2">
      <c r="A4" s="8" t="s">
        <v>354</v>
      </c>
      <c r="B4" s="8" t="s">
        <v>116</v>
      </c>
      <c r="C4" s="8" t="s">
        <v>9</v>
      </c>
      <c r="D4" s="8" t="str">
        <f>IFERROR(IF('IP Input Sheet'!D5&lt;&gt;"",'IP Input Sheet'!D5,IF('IP Input Sheet'!E5&lt;&gt;"",'IP Input Sheet'!E5,'IP Input Sheet'!F5)),"[Enter IP]")</f>
        <v>10.3.118.28</v>
      </c>
      <c r="E4" s="8" t="s">
        <v>60</v>
      </c>
      <c r="F4" s="8">
        <f>'IP Input Sheet'!D24</f>
        <v>0</v>
      </c>
      <c r="G4" s="8" t="s">
        <v>117</v>
      </c>
      <c r="H4" s="8" t="s">
        <v>118</v>
      </c>
      <c r="I4" s="8" t="s">
        <v>119</v>
      </c>
      <c r="J4" s="9" t="s">
        <v>100</v>
      </c>
      <c r="K4" s="10" t="s">
        <v>101</v>
      </c>
      <c r="L4" s="8" t="s">
        <v>107</v>
      </c>
      <c r="M4" s="8" t="s">
        <v>120</v>
      </c>
    </row>
    <row r="5" spans="1:13" ht="18" customHeight="1" x14ac:dyDescent="0.2">
      <c r="A5" s="11" t="s">
        <v>355</v>
      </c>
      <c r="B5" s="11" t="s">
        <v>122</v>
      </c>
      <c r="C5" s="11" t="s">
        <v>9</v>
      </c>
      <c r="D5" s="11" t="str">
        <f>IFERROR(IF('IP Input Sheet'!D5&lt;&gt;"",'IP Input Sheet'!D5,IF('IP Input Sheet'!E5&lt;&gt;"",'IP Input Sheet'!E5,'IP Input Sheet'!F5)),"[Enter IP]")</f>
        <v>10.3.118.28</v>
      </c>
      <c r="E5" s="11" t="s">
        <v>64</v>
      </c>
      <c r="F5" s="11">
        <f>'IP Input Sheet'!D25</f>
        <v>0</v>
      </c>
      <c r="G5" s="11" t="s">
        <v>123</v>
      </c>
      <c r="H5" s="11" t="s">
        <v>124</v>
      </c>
      <c r="I5" s="11" t="s">
        <v>356</v>
      </c>
      <c r="J5" s="9" t="s">
        <v>100</v>
      </c>
      <c r="K5" s="10" t="s">
        <v>101</v>
      </c>
      <c r="L5" s="11" t="s">
        <v>102</v>
      </c>
      <c r="M5" s="11"/>
    </row>
    <row r="6" spans="1:13" ht="18" customHeight="1" x14ac:dyDescent="0.2">
      <c r="A6" s="8" t="s">
        <v>357</v>
      </c>
      <c r="B6" s="8" t="s">
        <v>358</v>
      </c>
      <c r="C6" s="8" t="s">
        <v>12</v>
      </c>
      <c r="D6" s="8" t="str">
        <f>IFERROR(IF('IP Input Sheet'!D6&lt;&gt;"",'IP Input Sheet'!D6,IF('IP Input Sheet'!E6&lt;&gt;"",'IP Input Sheet'!E6,'IP Input Sheet'!F6)),"[Enter IP]")</f>
        <v>10.5.25.64/26</v>
      </c>
      <c r="E6" s="8" t="s">
        <v>60</v>
      </c>
      <c r="F6" s="8">
        <f>'IP Input Sheet'!D24</f>
        <v>0</v>
      </c>
      <c r="G6" s="8" t="s">
        <v>117</v>
      </c>
      <c r="H6" s="8" t="s">
        <v>118</v>
      </c>
      <c r="I6" s="8" t="s">
        <v>359</v>
      </c>
      <c r="J6" s="9" t="s">
        <v>100</v>
      </c>
      <c r="K6" s="10" t="s">
        <v>101</v>
      </c>
      <c r="L6" s="8" t="s">
        <v>102</v>
      </c>
      <c r="M6" s="8" t="s">
        <v>360</v>
      </c>
    </row>
    <row r="7" spans="1:13" ht="18" customHeight="1" x14ac:dyDescent="0.2">
      <c r="A7" s="11" t="s">
        <v>361</v>
      </c>
      <c r="B7" s="11" t="s">
        <v>362</v>
      </c>
      <c r="C7" s="11" t="s">
        <v>12</v>
      </c>
      <c r="D7" s="11" t="str">
        <f>IFERROR(IF('IP Input Sheet'!D6&lt;&gt;"",'IP Input Sheet'!D6,IF('IP Input Sheet'!E6&lt;&gt;"",'IP Input Sheet'!E6,'IP Input Sheet'!F6)),"[Enter IP]")</f>
        <v>10.5.25.64/26</v>
      </c>
      <c r="E7" s="11" t="s">
        <v>64</v>
      </c>
      <c r="F7" s="11">
        <f>'IP Input Sheet'!D25</f>
        <v>0</v>
      </c>
      <c r="G7" s="11" t="s">
        <v>123</v>
      </c>
      <c r="H7" s="11" t="s">
        <v>124</v>
      </c>
      <c r="I7" s="11" t="s">
        <v>356</v>
      </c>
      <c r="J7" s="9" t="s">
        <v>100</v>
      </c>
      <c r="K7" s="10" t="s">
        <v>101</v>
      </c>
      <c r="L7" s="11" t="s">
        <v>102</v>
      </c>
      <c r="M7" s="11"/>
    </row>
    <row r="8" spans="1:13" ht="18" customHeight="1" x14ac:dyDescent="0.2">
      <c r="A8" s="8" t="s">
        <v>363</v>
      </c>
      <c r="B8" s="8" t="s">
        <v>364</v>
      </c>
      <c r="C8" s="8" t="s">
        <v>12</v>
      </c>
      <c r="D8" s="8" t="str">
        <f>IFERROR(IF('IP Input Sheet'!D6&lt;&gt;"",'IP Input Sheet'!D6,IF('IP Input Sheet'!E6&lt;&gt;"",'IP Input Sheet'!E6,'IP Input Sheet'!F6)),"[Enter IP]")</f>
        <v>10.5.25.64/26</v>
      </c>
      <c r="E8" s="8" t="s">
        <v>168</v>
      </c>
      <c r="F8" s="8">
        <f>'IP Input Sheet'!D26</f>
        <v>0</v>
      </c>
      <c r="G8" s="8" t="s">
        <v>169</v>
      </c>
      <c r="H8" s="8" t="s">
        <v>98</v>
      </c>
      <c r="I8" s="8" t="s">
        <v>170</v>
      </c>
      <c r="J8" s="9" t="s">
        <v>100</v>
      </c>
      <c r="K8" s="10" t="s">
        <v>101</v>
      </c>
      <c r="L8" s="8" t="s">
        <v>102</v>
      </c>
      <c r="M8" s="8"/>
    </row>
    <row r="9" spans="1:13" ht="18" customHeight="1" x14ac:dyDescent="0.2">
      <c r="A9" s="11" t="s">
        <v>365</v>
      </c>
      <c r="B9" s="11" t="s">
        <v>366</v>
      </c>
      <c r="C9" s="11" t="s">
        <v>12</v>
      </c>
      <c r="D9" s="11" t="str">
        <f>IFERROR(IF('IP Input Sheet'!D6&lt;&gt;"",'IP Input Sheet'!D6,IF('IP Input Sheet'!E6&lt;&gt;"",'IP Input Sheet'!E6,'IP Input Sheet'!F6)),"[Enter IP]")</f>
        <v>10.5.25.64/26</v>
      </c>
      <c r="E9" s="11" t="s">
        <v>168</v>
      </c>
      <c r="F9" s="11">
        <f>'IP Input Sheet'!D26</f>
        <v>0</v>
      </c>
      <c r="G9" s="11" t="s">
        <v>173</v>
      </c>
      <c r="H9" s="11" t="s">
        <v>98</v>
      </c>
      <c r="I9" s="11" t="s">
        <v>367</v>
      </c>
      <c r="J9" s="9" t="s">
        <v>100</v>
      </c>
      <c r="K9" s="10" t="s">
        <v>101</v>
      </c>
      <c r="L9" s="11" t="s">
        <v>102</v>
      </c>
      <c r="M9" s="11"/>
    </row>
    <row r="10" spans="1:13" ht="18" customHeight="1" x14ac:dyDescent="0.2">
      <c r="A10" s="8" t="s">
        <v>368</v>
      </c>
      <c r="B10" s="8" t="s">
        <v>369</v>
      </c>
      <c r="C10" s="8" t="s">
        <v>12</v>
      </c>
      <c r="D10" s="8" t="str">
        <f>IFERROR(IF('IP Input Sheet'!D6&lt;&gt;"",'IP Input Sheet'!D6,IF('IP Input Sheet'!E6&lt;&gt;"",'IP Input Sheet'!E6,'IP Input Sheet'!F6)),"[Enter IP]")</f>
        <v>10.5.25.64/26</v>
      </c>
      <c r="E10" s="8" t="s">
        <v>168</v>
      </c>
      <c r="F10" s="8">
        <f>'IP Input Sheet'!D26</f>
        <v>0</v>
      </c>
      <c r="G10" s="8" t="s">
        <v>177</v>
      </c>
      <c r="H10" s="8" t="s">
        <v>98</v>
      </c>
      <c r="I10" s="8" t="s">
        <v>370</v>
      </c>
      <c r="J10" s="9" t="s">
        <v>100</v>
      </c>
      <c r="K10" s="10" t="s">
        <v>101</v>
      </c>
      <c r="L10" s="8" t="s">
        <v>102</v>
      </c>
      <c r="M10" s="8"/>
    </row>
    <row r="11" spans="1:13" ht="18" customHeight="1" x14ac:dyDescent="0.2">
      <c r="A11" s="11" t="s">
        <v>371</v>
      </c>
      <c r="B11" s="11" t="s">
        <v>372</v>
      </c>
      <c r="C11" s="11" t="s">
        <v>12</v>
      </c>
      <c r="D11" s="11" t="str">
        <f>IFERROR(IF('IP Input Sheet'!D6&lt;&gt;"",'IP Input Sheet'!D6,IF('IP Input Sheet'!E6&lt;&gt;"",'IP Input Sheet'!E6,'IP Input Sheet'!F6)),"[Enter IP]")</f>
        <v>10.5.25.64/26</v>
      </c>
      <c r="E11" s="11" t="s">
        <v>181</v>
      </c>
      <c r="F11" s="11">
        <f>'IP Input Sheet'!D28</f>
        <v>0</v>
      </c>
      <c r="G11" s="11" t="s">
        <v>133</v>
      </c>
      <c r="H11" s="11" t="s">
        <v>98</v>
      </c>
      <c r="I11" s="11" t="s">
        <v>373</v>
      </c>
      <c r="J11" s="9" t="s">
        <v>100</v>
      </c>
      <c r="K11" s="10" t="s">
        <v>101</v>
      </c>
      <c r="L11" s="11" t="s">
        <v>102</v>
      </c>
      <c r="M11" s="11" t="s">
        <v>374</v>
      </c>
    </row>
    <row r="12" spans="1:13" ht="18" customHeight="1" x14ac:dyDescent="0.2">
      <c r="A12" s="8" t="s">
        <v>375</v>
      </c>
      <c r="B12" s="8" t="s">
        <v>376</v>
      </c>
      <c r="C12" s="8" t="s">
        <v>24</v>
      </c>
      <c r="D12" s="8" t="str">
        <f>IFERROR(IF('IP Input Sheet'!D10&lt;&gt;"",'IP Input Sheet'!D10,IF('IP Input Sheet'!E10&lt;&gt;"",'IP Input Sheet'!E10,'IP Input Sheet'!F10)),"[Enter IP]")</f>
        <v>10.3.118.0/24</v>
      </c>
      <c r="E12" s="8" t="s">
        <v>168</v>
      </c>
      <c r="F12" s="8">
        <f>'IP Input Sheet'!D26</f>
        <v>0</v>
      </c>
      <c r="G12" s="8" t="s">
        <v>169</v>
      </c>
      <c r="H12" s="8" t="s">
        <v>118</v>
      </c>
      <c r="I12" s="8" t="s">
        <v>377</v>
      </c>
      <c r="J12" s="9" t="s">
        <v>100</v>
      </c>
      <c r="K12" s="10" t="s">
        <v>101</v>
      </c>
      <c r="L12" s="8" t="s">
        <v>102</v>
      </c>
      <c r="M12" s="8" t="s">
        <v>378</v>
      </c>
    </row>
    <row r="13" spans="1:13" ht="18" customHeight="1" x14ac:dyDescent="0.2">
      <c r="A13" s="11" t="s">
        <v>379</v>
      </c>
      <c r="B13" s="11" t="s">
        <v>380</v>
      </c>
      <c r="C13" s="11" t="s">
        <v>24</v>
      </c>
      <c r="D13" s="11" t="str">
        <f>IFERROR(IF('IP Input Sheet'!D10&lt;&gt;"",'IP Input Sheet'!D10,IF('IP Input Sheet'!E10&lt;&gt;"",'IP Input Sheet'!E10,'IP Input Sheet'!F10)),"[Enter IP]")</f>
        <v>10.3.118.0/24</v>
      </c>
      <c r="E13" s="11" t="s">
        <v>168</v>
      </c>
      <c r="F13" s="11">
        <f>'IP Input Sheet'!D26</f>
        <v>0</v>
      </c>
      <c r="G13" s="11" t="s">
        <v>173</v>
      </c>
      <c r="H13" s="11" t="s">
        <v>98</v>
      </c>
      <c r="I13" s="11" t="s">
        <v>367</v>
      </c>
      <c r="J13" s="9" t="s">
        <v>100</v>
      </c>
      <c r="K13" s="10" t="s">
        <v>101</v>
      </c>
      <c r="L13" s="11" t="s">
        <v>102</v>
      </c>
      <c r="M13" s="11"/>
    </row>
    <row r="14" spans="1:13" ht="18" customHeight="1" x14ac:dyDescent="0.2">
      <c r="A14" s="8" t="s">
        <v>381</v>
      </c>
      <c r="B14" s="8" t="s">
        <v>382</v>
      </c>
      <c r="C14" s="8" t="s">
        <v>24</v>
      </c>
      <c r="D14" s="8" t="str">
        <f>IFERROR(IF('IP Input Sheet'!D10&lt;&gt;"",'IP Input Sheet'!D10,IF('IP Input Sheet'!E10&lt;&gt;"",'IP Input Sheet'!E10,'IP Input Sheet'!F10)),"[Enter IP]")</f>
        <v>10.3.118.0/24</v>
      </c>
      <c r="E14" s="8" t="s">
        <v>383</v>
      </c>
      <c r="F14" s="8" t="s">
        <v>384</v>
      </c>
      <c r="G14" s="8" t="s">
        <v>97</v>
      </c>
      <c r="H14" s="8" t="s">
        <v>98</v>
      </c>
      <c r="I14" s="8" t="s">
        <v>385</v>
      </c>
      <c r="J14" s="9" t="s">
        <v>100</v>
      </c>
      <c r="K14" s="10" t="s">
        <v>101</v>
      </c>
      <c r="L14" s="8" t="s">
        <v>102</v>
      </c>
      <c r="M14" s="8" t="s">
        <v>386</v>
      </c>
    </row>
    <row r="15" spans="1:13" ht="18" customHeight="1" x14ac:dyDescent="0.2">
      <c r="A15" s="11" t="s">
        <v>387</v>
      </c>
      <c r="B15" s="11" t="s">
        <v>388</v>
      </c>
      <c r="C15" s="11" t="s">
        <v>24</v>
      </c>
      <c r="D15" s="11" t="str">
        <f>IFERROR(IF('IP Input Sheet'!D10&lt;&gt;"",'IP Input Sheet'!D10,IF('IP Input Sheet'!E10&lt;&gt;"",'IP Input Sheet'!E10,'IP Input Sheet'!F10)),"[Enter IP]")</f>
        <v>10.3.118.0/24</v>
      </c>
      <c r="E15" s="11" t="s">
        <v>60</v>
      </c>
      <c r="F15" s="11">
        <f>'IP Input Sheet'!D24</f>
        <v>0</v>
      </c>
      <c r="G15" s="11" t="s">
        <v>117</v>
      </c>
      <c r="H15" s="11" t="s">
        <v>118</v>
      </c>
      <c r="I15" s="11" t="s">
        <v>389</v>
      </c>
      <c r="J15" s="9" t="s">
        <v>100</v>
      </c>
      <c r="K15" s="10" t="s">
        <v>101</v>
      </c>
      <c r="L15" s="11" t="s">
        <v>102</v>
      </c>
      <c r="M15" s="11"/>
    </row>
    <row r="16" spans="1:13" ht="18" customHeight="1" x14ac:dyDescent="0.2">
      <c r="A16" s="8" t="s">
        <v>390</v>
      </c>
      <c r="B16" s="8" t="s">
        <v>391</v>
      </c>
      <c r="C16" s="8" t="s">
        <v>24</v>
      </c>
      <c r="D16" s="8" t="str">
        <f>IFERROR(IF('IP Input Sheet'!D10&lt;&gt;"",'IP Input Sheet'!D10,IF('IP Input Sheet'!E10&lt;&gt;"",'IP Input Sheet'!E10,'IP Input Sheet'!F10)),"[Enter IP]")</f>
        <v>10.3.118.0/24</v>
      </c>
      <c r="E16" s="8" t="s">
        <v>64</v>
      </c>
      <c r="F16" s="8">
        <f>'IP Input Sheet'!D25</f>
        <v>0</v>
      </c>
      <c r="G16" s="8" t="s">
        <v>123</v>
      </c>
      <c r="H16" s="8" t="s">
        <v>124</v>
      </c>
      <c r="I16" s="8" t="s">
        <v>356</v>
      </c>
      <c r="J16" s="9" t="s">
        <v>100</v>
      </c>
      <c r="K16" s="10" t="s">
        <v>101</v>
      </c>
      <c r="L16" s="8" t="s">
        <v>102</v>
      </c>
      <c r="M16" s="8"/>
    </row>
    <row r="17" spans="1:13" ht="18" customHeight="1" x14ac:dyDescent="0.2">
      <c r="A17" s="11" t="s">
        <v>392</v>
      </c>
      <c r="B17" s="11" t="s">
        <v>393</v>
      </c>
      <c r="C17" s="11" t="s">
        <v>24</v>
      </c>
      <c r="D17" s="11" t="str">
        <f>IFERROR(IF('IP Input Sheet'!D10&lt;&gt;"",'IP Input Sheet'!D10,IF('IP Input Sheet'!E10&lt;&gt;"",'IP Input Sheet'!E10,'IP Input Sheet'!F10)),"[Enter IP]")</f>
        <v>10.3.118.0/24</v>
      </c>
      <c r="E17" s="11" t="s">
        <v>181</v>
      </c>
      <c r="F17" s="11">
        <f>'IP Input Sheet'!D28</f>
        <v>0</v>
      </c>
      <c r="G17" s="11" t="s">
        <v>133</v>
      </c>
      <c r="H17" s="11" t="s">
        <v>98</v>
      </c>
      <c r="I17" s="11" t="s">
        <v>394</v>
      </c>
      <c r="J17" s="9" t="s">
        <v>100</v>
      </c>
      <c r="K17" s="10" t="s">
        <v>101</v>
      </c>
      <c r="L17" s="11" t="s">
        <v>102</v>
      </c>
      <c r="M17" s="11"/>
    </row>
    <row r="18" spans="1:13" ht="18" customHeight="1" x14ac:dyDescent="0.2">
      <c r="A18" s="8" t="s">
        <v>395</v>
      </c>
      <c r="B18" s="8" t="s">
        <v>396</v>
      </c>
      <c r="C18" s="8" t="s">
        <v>24</v>
      </c>
      <c r="D18" s="8" t="str">
        <f>IFERROR(IF('IP Input Sheet'!D10&lt;&gt;"",'IP Input Sheet'!D10,IF('IP Input Sheet'!E10&lt;&gt;"",'IP Input Sheet'!E10,'IP Input Sheet'!F10)),"[Enter IP]")</f>
        <v>10.3.118.0/24</v>
      </c>
      <c r="E18" s="8" t="s">
        <v>70</v>
      </c>
      <c r="F18" s="8">
        <f>'IP Input Sheet'!D27</f>
        <v>0</v>
      </c>
      <c r="G18" s="8" t="s">
        <v>97</v>
      </c>
      <c r="H18" s="8" t="s">
        <v>98</v>
      </c>
      <c r="I18" s="8" t="s">
        <v>397</v>
      </c>
      <c r="J18" s="9" t="s">
        <v>100</v>
      </c>
      <c r="K18" s="10" t="s">
        <v>101</v>
      </c>
      <c r="L18" s="8" t="s">
        <v>102</v>
      </c>
      <c r="M18" s="8"/>
    </row>
    <row r="19" spans="1:13" ht="18" customHeight="1" x14ac:dyDescent="0.2">
      <c r="A19" s="11" t="s">
        <v>398</v>
      </c>
      <c r="B19" s="11" t="s">
        <v>399</v>
      </c>
      <c r="C19" s="11" t="s">
        <v>347</v>
      </c>
      <c r="D19" s="11" t="s">
        <v>400</v>
      </c>
      <c r="E19" s="11" t="s">
        <v>401</v>
      </c>
      <c r="F19" s="11" t="s">
        <v>384</v>
      </c>
      <c r="G19" s="11" t="s">
        <v>349</v>
      </c>
      <c r="H19" s="11" t="s">
        <v>349</v>
      </c>
      <c r="I19" s="11" t="s">
        <v>402</v>
      </c>
      <c r="J19" s="9" t="s">
        <v>100</v>
      </c>
      <c r="K19" s="10" t="s">
        <v>101</v>
      </c>
      <c r="L19" s="11" t="s">
        <v>107</v>
      </c>
      <c r="M19" s="11" t="s">
        <v>403</v>
      </c>
    </row>
    <row r="21" spans="1:13" ht="15.75" customHeight="1" x14ac:dyDescent="0.2"/>
    <row r="22" spans="1:13" ht="15.75" customHeight="1" x14ac:dyDescent="0.2"/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1000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0" customWidth="1"/>
    <col min="3" max="3" width="24" customWidth="1"/>
    <col min="4" max="4" width="26" customWidth="1"/>
    <col min="5" max="5" width="22" customWidth="1"/>
    <col min="6" max="6" width="16" customWidth="1"/>
    <col min="7" max="7" width="28" customWidth="1"/>
    <col min="8" max="8" width="12" customWidth="1"/>
    <col min="9" max="9" width="40" customWidth="1"/>
    <col min="10" max="26" width="8.6640625" customWidth="1"/>
  </cols>
  <sheetData>
    <row r="1" spans="1:9" ht="27.75" customHeight="1" x14ac:dyDescent="0.2">
      <c r="A1" s="21" t="s">
        <v>404</v>
      </c>
      <c r="B1" s="17"/>
      <c r="C1" s="17"/>
      <c r="D1" s="17"/>
      <c r="E1" s="17"/>
      <c r="F1" s="17"/>
      <c r="G1" s="17"/>
      <c r="H1" s="17"/>
      <c r="I1" s="18"/>
    </row>
    <row r="2" spans="1:9" ht="18" customHeight="1" x14ac:dyDescent="0.2">
      <c r="A2" s="19" t="s">
        <v>405</v>
      </c>
      <c r="B2" s="17"/>
      <c r="C2" s="17"/>
      <c r="D2" s="17"/>
      <c r="E2" s="17"/>
      <c r="F2" s="17"/>
      <c r="G2" s="17"/>
      <c r="H2" s="17"/>
      <c r="I2" s="18"/>
    </row>
    <row r="3" spans="1:9" ht="25.5" customHeight="1" x14ac:dyDescent="0.2">
      <c r="A3" s="1" t="s">
        <v>2</v>
      </c>
      <c r="B3" s="1" t="s">
        <v>406</v>
      </c>
      <c r="C3" s="1" t="s">
        <v>407</v>
      </c>
      <c r="D3" s="1" t="s">
        <v>408</v>
      </c>
      <c r="E3" s="1" t="s">
        <v>409</v>
      </c>
      <c r="F3" s="1" t="s">
        <v>410</v>
      </c>
      <c r="G3" s="1" t="s">
        <v>84</v>
      </c>
      <c r="H3" s="1" t="s">
        <v>411</v>
      </c>
      <c r="I3" s="1" t="s">
        <v>94</v>
      </c>
    </row>
    <row r="4" spans="1:9" ht="18" customHeight="1" x14ac:dyDescent="0.2">
      <c r="A4" s="8" t="s">
        <v>412</v>
      </c>
      <c r="B4" s="8" t="s">
        <v>413</v>
      </c>
      <c r="C4" s="8" t="str">
        <f>'IP Input Sheet'!D11</f>
        <v>10.5.25.64/26</v>
      </c>
      <c r="D4" s="8" t="s">
        <v>414</v>
      </c>
      <c r="E4" s="8" t="s">
        <v>415</v>
      </c>
      <c r="F4" s="10" t="s">
        <v>416</v>
      </c>
      <c r="G4" s="8" t="s">
        <v>347</v>
      </c>
      <c r="H4" s="8" t="s">
        <v>417</v>
      </c>
      <c r="I4" s="8" t="s">
        <v>418</v>
      </c>
    </row>
    <row r="5" spans="1:9" ht="18" customHeight="1" x14ac:dyDescent="0.2">
      <c r="A5" s="11" t="s">
        <v>419</v>
      </c>
      <c r="B5" s="11" t="s">
        <v>250</v>
      </c>
      <c r="C5" s="11" t="str">
        <f>'IP Input Sheet'!D5</f>
        <v>10.3.118.28</v>
      </c>
      <c r="D5" s="11" t="s">
        <v>414</v>
      </c>
      <c r="E5" s="11" t="s">
        <v>415</v>
      </c>
      <c r="F5" s="10" t="s">
        <v>415</v>
      </c>
      <c r="G5" s="11" t="s">
        <v>9</v>
      </c>
      <c r="H5" s="11" t="s">
        <v>417</v>
      </c>
      <c r="I5" s="11" t="s">
        <v>420</v>
      </c>
    </row>
    <row r="6" spans="1:9" ht="18" customHeight="1" x14ac:dyDescent="0.2">
      <c r="A6" s="8" t="s">
        <v>421</v>
      </c>
      <c r="B6" s="8" t="s">
        <v>12</v>
      </c>
      <c r="C6" s="8" t="str">
        <f>'IP Input Sheet'!D6</f>
        <v>10.5.25.64/26</v>
      </c>
      <c r="D6" s="8" t="s">
        <v>414</v>
      </c>
      <c r="E6" s="8" t="s">
        <v>415</v>
      </c>
      <c r="F6" s="10" t="s">
        <v>415</v>
      </c>
      <c r="G6" s="8" t="s">
        <v>422</v>
      </c>
      <c r="H6" s="8" t="s">
        <v>417</v>
      </c>
      <c r="I6" s="8" t="s">
        <v>423</v>
      </c>
    </row>
    <row r="7" spans="1:9" ht="18" customHeight="1" x14ac:dyDescent="0.2">
      <c r="A7" s="11" t="s">
        <v>424</v>
      </c>
      <c r="B7" s="11" t="s">
        <v>15</v>
      </c>
      <c r="C7" s="11" t="str">
        <f>'IP Input Sheet'!D7</f>
        <v>10.5.25.64/26</v>
      </c>
      <c r="D7" s="11" t="s">
        <v>414</v>
      </c>
      <c r="E7" s="11" t="s">
        <v>415</v>
      </c>
      <c r="F7" s="10" t="s">
        <v>415</v>
      </c>
      <c r="G7" s="11" t="s">
        <v>132</v>
      </c>
      <c r="H7" s="11" t="s">
        <v>417</v>
      </c>
      <c r="I7" s="11" t="s">
        <v>423</v>
      </c>
    </row>
    <row r="8" spans="1:9" ht="18" customHeight="1" x14ac:dyDescent="0.2">
      <c r="A8" s="8" t="s">
        <v>425</v>
      </c>
      <c r="B8" s="8" t="s">
        <v>426</v>
      </c>
      <c r="C8" s="8" t="str">
        <f>'IP Input Sheet'!D8</f>
        <v>10.5.25.64/26</v>
      </c>
      <c r="D8" s="8" t="s">
        <v>414</v>
      </c>
      <c r="E8" s="8" t="s">
        <v>415</v>
      </c>
      <c r="F8" s="10" t="s">
        <v>415</v>
      </c>
      <c r="G8" s="8" t="s">
        <v>265</v>
      </c>
      <c r="H8" s="8" t="s">
        <v>417</v>
      </c>
      <c r="I8" s="8" t="s">
        <v>423</v>
      </c>
    </row>
    <row r="9" spans="1:9" ht="18" customHeight="1" x14ac:dyDescent="0.2">
      <c r="A9" s="11" t="s">
        <v>427</v>
      </c>
      <c r="B9" s="11" t="s">
        <v>223</v>
      </c>
      <c r="C9" s="11" t="str">
        <f>'IP Input Sheet'!D9</f>
        <v>10.5.25.64/26</v>
      </c>
      <c r="D9" s="11" t="s">
        <v>414</v>
      </c>
      <c r="E9" s="11" t="s">
        <v>415</v>
      </c>
      <c r="F9" s="10" t="s">
        <v>415</v>
      </c>
      <c r="G9" s="11" t="s">
        <v>274</v>
      </c>
      <c r="H9" s="11" t="s">
        <v>417</v>
      </c>
      <c r="I9" s="11" t="s">
        <v>423</v>
      </c>
    </row>
    <row r="10" spans="1:9" ht="18" customHeight="1" x14ac:dyDescent="0.2">
      <c r="A10" s="8" t="s">
        <v>428</v>
      </c>
      <c r="B10" s="8" t="s">
        <v>24</v>
      </c>
      <c r="C10" s="8" t="str">
        <f>'IP Input Sheet'!D10</f>
        <v>10.3.118.0/24</v>
      </c>
      <c r="D10" s="8" t="s">
        <v>414</v>
      </c>
      <c r="E10" s="8" t="s">
        <v>415</v>
      </c>
      <c r="F10" s="10" t="s">
        <v>415</v>
      </c>
      <c r="G10" s="8" t="s">
        <v>429</v>
      </c>
      <c r="H10" s="8" t="s">
        <v>417</v>
      </c>
      <c r="I10" s="8" t="s">
        <v>430</v>
      </c>
    </row>
    <row r="11" spans="1:9" ht="18" customHeight="1" x14ac:dyDescent="0.2">
      <c r="A11" s="11" t="s">
        <v>431</v>
      </c>
      <c r="B11" s="11" t="s">
        <v>432</v>
      </c>
      <c r="C11" s="11" t="str">
        <f>'IP Input Sheet'!D13</f>
        <v>10.3.118.18</v>
      </c>
      <c r="D11" s="11" t="s">
        <v>433</v>
      </c>
      <c r="E11" s="11" t="s">
        <v>434</v>
      </c>
      <c r="F11" s="12" t="s">
        <v>435</v>
      </c>
      <c r="G11" s="11" t="s">
        <v>436</v>
      </c>
      <c r="H11" s="11" t="s">
        <v>417</v>
      </c>
      <c r="I11" s="11" t="s">
        <v>437</v>
      </c>
    </row>
    <row r="12" spans="1:9" ht="18" customHeight="1" x14ac:dyDescent="0.2">
      <c r="A12" s="8" t="s">
        <v>438</v>
      </c>
      <c r="B12" s="8" t="s">
        <v>31</v>
      </c>
      <c r="C12" s="8" t="str">
        <f>'IP Input Sheet'!D13</f>
        <v>10.3.118.18</v>
      </c>
      <c r="D12" s="8" t="s">
        <v>433</v>
      </c>
      <c r="E12" s="8" t="s">
        <v>434</v>
      </c>
      <c r="F12" s="8" t="s">
        <v>439</v>
      </c>
      <c r="G12" s="8" t="s">
        <v>31</v>
      </c>
      <c r="H12" s="8" t="s">
        <v>417</v>
      </c>
      <c r="I12" s="8"/>
    </row>
    <row r="13" spans="1:9" ht="18" customHeight="1" x14ac:dyDescent="0.2">
      <c r="A13" s="11" t="s">
        <v>440</v>
      </c>
      <c r="B13" s="11" t="s">
        <v>113</v>
      </c>
      <c r="C13" s="11" t="str">
        <f>'IP Input Sheet'!D14</f>
        <v>10.3.118.0/24</v>
      </c>
      <c r="D13" s="11" t="s">
        <v>433</v>
      </c>
      <c r="E13" s="11" t="s">
        <v>434</v>
      </c>
      <c r="F13" s="11" t="s">
        <v>439</v>
      </c>
      <c r="G13" s="11" t="s">
        <v>113</v>
      </c>
      <c r="H13" s="11" t="s">
        <v>417</v>
      </c>
      <c r="I13" s="11"/>
    </row>
    <row r="14" spans="1:9" ht="18" customHeight="1" x14ac:dyDescent="0.2">
      <c r="A14" s="8" t="s">
        <v>441</v>
      </c>
      <c r="B14" s="8" t="s">
        <v>40</v>
      </c>
      <c r="C14" s="8" t="str">
        <f>'IP Input Sheet'!D16</f>
        <v>10.3.118.30</v>
      </c>
      <c r="D14" s="8" t="s">
        <v>433</v>
      </c>
      <c r="E14" s="8" t="s">
        <v>434</v>
      </c>
      <c r="F14" s="8" t="s">
        <v>439</v>
      </c>
      <c r="G14" s="8" t="s">
        <v>40</v>
      </c>
      <c r="H14" s="8" t="s">
        <v>417</v>
      </c>
      <c r="I14" s="8"/>
    </row>
    <row r="15" spans="1:9" ht="18" customHeight="1" x14ac:dyDescent="0.2">
      <c r="A15" s="11" t="s">
        <v>442</v>
      </c>
      <c r="B15" s="11" t="s">
        <v>443</v>
      </c>
      <c r="C15" s="11" t="str">
        <f>'IP Input Sheet'!D20</f>
        <v>10.3.118.0/24</v>
      </c>
      <c r="D15" s="11" t="s">
        <v>433</v>
      </c>
      <c r="E15" s="11" t="s">
        <v>444</v>
      </c>
      <c r="F15" s="11" t="s">
        <v>439</v>
      </c>
      <c r="G15" s="11" t="s">
        <v>445</v>
      </c>
      <c r="H15" s="11" t="s">
        <v>417</v>
      </c>
      <c r="I15" s="11" t="s">
        <v>446</v>
      </c>
    </row>
    <row r="16" spans="1:9" ht="18" customHeight="1" x14ac:dyDescent="0.2">
      <c r="A16" s="8" t="s">
        <v>447</v>
      </c>
      <c r="B16" s="8" t="s">
        <v>448</v>
      </c>
      <c r="C16" s="8" t="str">
        <f>'IP Input Sheet'!D18</f>
        <v>10.3.118.0/24</v>
      </c>
      <c r="D16" s="8" t="s">
        <v>433</v>
      </c>
      <c r="E16" s="8" t="s">
        <v>449</v>
      </c>
      <c r="F16" s="8" t="s">
        <v>439</v>
      </c>
      <c r="G16" s="8" t="s">
        <v>450</v>
      </c>
      <c r="H16" s="8" t="s">
        <v>417</v>
      </c>
      <c r="I16" s="8" t="s">
        <v>451</v>
      </c>
    </row>
    <row r="17" spans="1:9" ht="18" customHeight="1" x14ac:dyDescent="0.2">
      <c r="A17" s="11" t="s">
        <v>452</v>
      </c>
      <c r="B17" s="11" t="s">
        <v>53</v>
      </c>
      <c r="C17" s="11">
        <f>'IP Input Sheet'!D21</f>
        <v>0</v>
      </c>
      <c r="D17" s="11" t="s">
        <v>414</v>
      </c>
      <c r="E17" s="11" t="s">
        <v>453</v>
      </c>
      <c r="F17" s="13" t="s">
        <v>454</v>
      </c>
      <c r="G17" s="11" t="s">
        <v>455</v>
      </c>
      <c r="H17" s="11" t="s">
        <v>417</v>
      </c>
      <c r="I17" s="11" t="s">
        <v>456</v>
      </c>
    </row>
    <row r="18" spans="1:9" ht="18" customHeight="1" x14ac:dyDescent="0.2">
      <c r="A18" s="8" t="s">
        <v>457</v>
      </c>
      <c r="B18" s="8" t="s">
        <v>60</v>
      </c>
      <c r="C18" s="8">
        <f>'IP Input Sheet'!D24</f>
        <v>0</v>
      </c>
      <c r="D18" s="8" t="s">
        <v>458</v>
      </c>
      <c r="E18" s="8" t="s">
        <v>459</v>
      </c>
      <c r="F18" s="8" t="s">
        <v>439</v>
      </c>
      <c r="G18" s="8" t="s">
        <v>460</v>
      </c>
      <c r="H18" s="8" t="s">
        <v>461</v>
      </c>
      <c r="I18" s="8" t="s">
        <v>462</v>
      </c>
    </row>
    <row r="19" spans="1:9" ht="18" customHeight="1" x14ac:dyDescent="0.2">
      <c r="A19" s="11" t="s">
        <v>463</v>
      </c>
      <c r="B19" s="11" t="s">
        <v>64</v>
      </c>
      <c r="C19" s="11">
        <f>'IP Input Sheet'!D25</f>
        <v>0</v>
      </c>
      <c r="D19" s="11" t="s">
        <v>458</v>
      </c>
      <c r="E19" s="11" t="s">
        <v>459</v>
      </c>
      <c r="F19" s="11" t="s">
        <v>439</v>
      </c>
      <c r="G19" s="11" t="s">
        <v>460</v>
      </c>
      <c r="H19" s="11" t="s">
        <v>461</v>
      </c>
      <c r="I19" s="11"/>
    </row>
    <row r="20" spans="1:9" ht="18" customHeight="1" x14ac:dyDescent="0.2">
      <c r="A20" s="8" t="s">
        <v>464</v>
      </c>
      <c r="B20" s="8" t="s">
        <v>168</v>
      </c>
      <c r="C20" s="8">
        <f>'IP Input Sheet'!D26</f>
        <v>0</v>
      </c>
      <c r="D20" s="8" t="s">
        <v>458</v>
      </c>
      <c r="E20" s="8" t="s">
        <v>459</v>
      </c>
      <c r="F20" s="8" t="s">
        <v>439</v>
      </c>
      <c r="G20" s="8" t="s">
        <v>465</v>
      </c>
      <c r="H20" s="8" t="s">
        <v>461</v>
      </c>
      <c r="I20" s="8"/>
    </row>
    <row r="21" spans="1:9" ht="18" customHeight="1" x14ac:dyDescent="0.2">
      <c r="A21" s="11" t="s">
        <v>466</v>
      </c>
      <c r="B21" s="11" t="s">
        <v>70</v>
      </c>
      <c r="C21" s="11">
        <f>'IP Input Sheet'!D27</f>
        <v>0</v>
      </c>
      <c r="D21" s="11" t="s">
        <v>458</v>
      </c>
      <c r="E21" s="11" t="s">
        <v>459</v>
      </c>
      <c r="F21" s="11" t="s">
        <v>439</v>
      </c>
      <c r="G21" s="11" t="s">
        <v>465</v>
      </c>
      <c r="H21" s="11" t="s">
        <v>461</v>
      </c>
      <c r="I21" s="11"/>
    </row>
    <row r="22" spans="1:9" ht="18" customHeight="1" x14ac:dyDescent="0.2">
      <c r="A22" s="8" t="s">
        <v>467</v>
      </c>
      <c r="B22" s="8" t="s">
        <v>73</v>
      </c>
      <c r="C22" s="8">
        <f>'IP Input Sheet'!D28</f>
        <v>0</v>
      </c>
      <c r="D22" s="8" t="s">
        <v>458</v>
      </c>
      <c r="E22" s="8" t="s">
        <v>459</v>
      </c>
      <c r="F22" s="8" t="s">
        <v>439</v>
      </c>
      <c r="G22" s="8" t="s">
        <v>468</v>
      </c>
      <c r="H22" s="8" t="s">
        <v>461</v>
      </c>
      <c r="I22" s="8"/>
    </row>
    <row r="23" spans="1:9" ht="18" customHeight="1" x14ac:dyDescent="0.2">
      <c r="A23" s="11" t="s">
        <v>469</v>
      </c>
      <c r="B23" s="11" t="s">
        <v>470</v>
      </c>
      <c r="C23" s="11" t="s">
        <v>471</v>
      </c>
      <c r="D23" s="11" t="s">
        <v>472</v>
      </c>
      <c r="E23" s="11" t="s">
        <v>473</v>
      </c>
      <c r="F23" s="12" t="s">
        <v>474</v>
      </c>
      <c r="G23" s="11" t="s">
        <v>475</v>
      </c>
      <c r="H23" s="11" t="s">
        <v>476</v>
      </c>
      <c r="I23" s="11" t="s">
        <v>477</v>
      </c>
    </row>
    <row r="24" spans="1:9" ht="18" customHeight="1" x14ac:dyDescent="0.2">
      <c r="A24" s="8" t="s">
        <v>478</v>
      </c>
      <c r="B24" s="8" t="s">
        <v>479</v>
      </c>
      <c r="C24" s="8" t="s">
        <v>480</v>
      </c>
      <c r="D24" s="8" t="s">
        <v>472</v>
      </c>
      <c r="E24" s="8" t="s">
        <v>481</v>
      </c>
      <c r="F24" s="12" t="s">
        <v>474</v>
      </c>
      <c r="G24" s="8" t="s">
        <v>482</v>
      </c>
      <c r="H24" s="8" t="s">
        <v>476</v>
      </c>
      <c r="I24" s="8" t="s">
        <v>483</v>
      </c>
    </row>
    <row r="25" spans="1:9" ht="18" customHeight="1" x14ac:dyDescent="0.2">
      <c r="A25" s="11" t="s">
        <v>484</v>
      </c>
      <c r="B25" s="11" t="s">
        <v>485</v>
      </c>
      <c r="C25" s="11" t="s">
        <v>486</v>
      </c>
      <c r="D25" s="11" t="s">
        <v>487</v>
      </c>
      <c r="E25" s="11" t="s">
        <v>488</v>
      </c>
      <c r="F25" s="12" t="s">
        <v>474</v>
      </c>
      <c r="G25" s="11" t="s">
        <v>489</v>
      </c>
      <c r="H25" s="11" t="s">
        <v>461</v>
      </c>
      <c r="I25" s="11" t="s">
        <v>490</v>
      </c>
    </row>
    <row r="26" spans="1:9" ht="18" customHeight="1" x14ac:dyDescent="0.2">
      <c r="A26" s="8" t="s">
        <v>491</v>
      </c>
      <c r="B26" s="8" t="s">
        <v>487</v>
      </c>
      <c r="C26" s="8" t="s">
        <v>492</v>
      </c>
      <c r="D26" s="8" t="s">
        <v>493</v>
      </c>
      <c r="E26" s="8" t="s">
        <v>494</v>
      </c>
      <c r="F26" s="13" t="s">
        <v>495</v>
      </c>
      <c r="G26" s="8" t="s">
        <v>496</v>
      </c>
      <c r="H26" s="8" t="s">
        <v>461</v>
      </c>
      <c r="I26" s="8" t="s">
        <v>497</v>
      </c>
    </row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04040"/>
  </sheetPr>
  <dimension ref="A1:F1000"/>
  <sheetViews>
    <sheetView zoomScale="120" zoomScaleNormal="120" workbookViewId="0">
      <pane ySplit="2" topLeftCell="A4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2" customWidth="1"/>
    <col min="2" max="2" width="10" customWidth="1"/>
    <col min="3" max="3" width="26" customWidth="1"/>
    <col min="4" max="5" width="36" customWidth="1"/>
    <col min="6" max="6" width="44" customWidth="1"/>
    <col min="7" max="26" width="8.6640625" customWidth="1"/>
  </cols>
  <sheetData>
    <row r="1" spans="1:6" ht="27.75" customHeight="1" x14ac:dyDescent="0.2">
      <c r="A1" s="21" t="s">
        <v>498</v>
      </c>
      <c r="B1" s="17"/>
      <c r="C1" s="17"/>
      <c r="D1" s="17"/>
      <c r="E1" s="17"/>
      <c r="F1" s="18"/>
    </row>
    <row r="2" spans="1:6" ht="21.75" customHeight="1" x14ac:dyDescent="0.2">
      <c r="A2" s="1" t="s">
        <v>88</v>
      </c>
      <c r="B2" s="1" t="s">
        <v>89</v>
      </c>
      <c r="C2" s="1" t="s">
        <v>499</v>
      </c>
      <c r="D2" s="1" t="s">
        <v>500</v>
      </c>
      <c r="E2" s="1" t="s">
        <v>501</v>
      </c>
      <c r="F2" s="1" t="s">
        <v>94</v>
      </c>
    </row>
    <row r="3" spans="1:6" ht="21.75" customHeight="1" x14ac:dyDescent="0.2">
      <c r="A3" s="14" t="s">
        <v>133</v>
      </c>
      <c r="B3" s="11" t="s">
        <v>98</v>
      </c>
      <c r="C3" s="11" t="s">
        <v>208</v>
      </c>
      <c r="D3" s="11" t="s">
        <v>502</v>
      </c>
      <c r="E3" s="11" t="s">
        <v>503</v>
      </c>
      <c r="F3" s="11" t="s">
        <v>504</v>
      </c>
    </row>
    <row r="4" spans="1:6" ht="21.75" customHeight="1" x14ac:dyDescent="0.2">
      <c r="A4" s="15" t="s">
        <v>505</v>
      </c>
      <c r="B4" s="8" t="s">
        <v>506</v>
      </c>
      <c r="C4" s="8" t="s">
        <v>507</v>
      </c>
      <c r="D4" s="8" t="s">
        <v>429</v>
      </c>
      <c r="E4" s="8" t="s">
        <v>508</v>
      </c>
      <c r="F4" s="8" t="s">
        <v>509</v>
      </c>
    </row>
    <row r="5" spans="1:6" ht="21.75" customHeight="1" x14ac:dyDescent="0.2">
      <c r="A5" s="14" t="s">
        <v>117</v>
      </c>
      <c r="B5" s="11" t="s">
        <v>118</v>
      </c>
      <c r="C5" s="11" t="s">
        <v>359</v>
      </c>
      <c r="D5" s="11" t="s">
        <v>510</v>
      </c>
      <c r="E5" s="11" t="s">
        <v>511</v>
      </c>
      <c r="F5" s="11" t="s">
        <v>512</v>
      </c>
    </row>
    <row r="6" spans="1:6" ht="21.75" customHeight="1" x14ac:dyDescent="0.2">
      <c r="A6" s="15" t="s">
        <v>123</v>
      </c>
      <c r="B6" s="8" t="s">
        <v>124</v>
      </c>
      <c r="C6" s="8" t="s">
        <v>513</v>
      </c>
      <c r="D6" s="8" t="s">
        <v>510</v>
      </c>
      <c r="E6" s="8" t="s">
        <v>514</v>
      </c>
      <c r="F6" s="8" t="s">
        <v>515</v>
      </c>
    </row>
    <row r="7" spans="1:6" ht="21.75" customHeight="1" x14ac:dyDescent="0.2">
      <c r="A7" s="14" t="s">
        <v>244</v>
      </c>
      <c r="B7" s="11" t="s">
        <v>98</v>
      </c>
      <c r="C7" s="11" t="s">
        <v>516</v>
      </c>
      <c r="D7" s="11" t="s">
        <v>223</v>
      </c>
      <c r="E7" s="11" t="s">
        <v>517</v>
      </c>
      <c r="F7" s="11" t="s">
        <v>518</v>
      </c>
    </row>
    <row r="8" spans="1:6" ht="21.75" customHeight="1" x14ac:dyDescent="0.2">
      <c r="A8" s="15" t="s">
        <v>169</v>
      </c>
      <c r="B8" s="8" t="s">
        <v>118</v>
      </c>
      <c r="C8" s="8" t="s">
        <v>519</v>
      </c>
      <c r="D8" s="8" t="s">
        <v>520</v>
      </c>
      <c r="E8" s="8" t="s">
        <v>521</v>
      </c>
      <c r="F8" s="8" t="s">
        <v>522</v>
      </c>
    </row>
    <row r="9" spans="1:6" ht="21.75" customHeight="1" x14ac:dyDescent="0.2">
      <c r="A9" s="14" t="s">
        <v>97</v>
      </c>
      <c r="B9" s="11" t="s">
        <v>98</v>
      </c>
      <c r="C9" s="11" t="s">
        <v>523</v>
      </c>
      <c r="D9" s="11" t="s">
        <v>524</v>
      </c>
      <c r="E9" s="11" t="s">
        <v>524</v>
      </c>
      <c r="F9" s="11" t="s">
        <v>525</v>
      </c>
    </row>
    <row r="10" spans="1:6" ht="21.75" customHeight="1" x14ac:dyDescent="0.2">
      <c r="A10" s="15" t="s">
        <v>266</v>
      </c>
      <c r="B10" s="8" t="s">
        <v>118</v>
      </c>
      <c r="C10" s="8" t="s">
        <v>526</v>
      </c>
      <c r="D10" s="8" t="s">
        <v>527</v>
      </c>
      <c r="E10" s="8" t="s">
        <v>426</v>
      </c>
      <c r="F10" s="8" t="s">
        <v>528</v>
      </c>
    </row>
    <row r="11" spans="1:6" ht="21.75" customHeight="1" x14ac:dyDescent="0.2">
      <c r="A11" s="14" t="s">
        <v>173</v>
      </c>
      <c r="B11" s="11" t="s">
        <v>98</v>
      </c>
      <c r="C11" s="11" t="s">
        <v>529</v>
      </c>
      <c r="D11" s="11" t="s">
        <v>520</v>
      </c>
      <c r="E11" s="11" t="s">
        <v>521</v>
      </c>
      <c r="F11" s="11" t="s">
        <v>367</v>
      </c>
    </row>
    <row r="12" spans="1:6" ht="21.75" customHeight="1" x14ac:dyDescent="0.2">
      <c r="A12" s="15" t="s">
        <v>201</v>
      </c>
      <c r="B12" s="8" t="s">
        <v>98</v>
      </c>
      <c r="C12" s="8" t="s">
        <v>530</v>
      </c>
      <c r="D12" s="8" t="s">
        <v>531</v>
      </c>
      <c r="E12" s="8" t="s">
        <v>532</v>
      </c>
      <c r="F12" s="8" t="s">
        <v>533</v>
      </c>
    </row>
    <row r="13" spans="1:6" ht="21.75" customHeight="1" x14ac:dyDescent="0.2">
      <c r="A13" s="14" t="s">
        <v>270</v>
      </c>
      <c r="B13" s="11" t="s">
        <v>98</v>
      </c>
      <c r="C13" s="11" t="s">
        <v>271</v>
      </c>
      <c r="D13" s="11" t="s">
        <v>534</v>
      </c>
      <c r="E13" s="11" t="s">
        <v>426</v>
      </c>
      <c r="F13" s="11" t="s">
        <v>342</v>
      </c>
    </row>
    <row r="14" spans="1:6" ht="21.75" customHeight="1" x14ac:dyDescent="0.2">
      <c r="A14" s="15" t="s">
        <v>224</v>
      </c>
      <c r="B14" s="8" t="s">
        <v>118</v>
      </c>
      <c r="C14" s="8" t="s">
        <v>535</v>
      </c>
      <c r="D14" s="8" t="s">
        <v>536</v>
      </c>
      <c r="E14" s="8" t="s">
        <v>537</v>
      </c>
      <c r="F14" s="8" t="s">
        <v>538</v>
      </c>
    </row>
    <row r="15" spans="1:6" ht="21.75" customHeight="1" x14ac:dyDescent="0.2">
      <c r="A15" s="14" t="s">
        <v>177</v>
      </c>
      <c r="B15" s="11" t="s">
        <v>98</v>
      </c>
      <c r="C15" s="11" t="s">
        <v>370</v>
      </c>
      <c r="D15" s="11" t="s">
        <v>422</v>
      </c>
      <c r="E15" s="11" t="s">
        <v>521</v>
      </c>
      <c r="F15" s="11" t="s">
        <v>539</v>
      </c>
    </row>
    <row r="16" spans="1:6" ht="21.75" customHeight="1" x14ac:dyDescent="0.2">
      <c r="A16" s="15" t="s">
        <v>229</v>
      </c>
      <c r="B16" s="8" t="s">
        <v>118</v>
      </c>
      <c r="C16" s="8" t="s">
        <v>540</v>
      </c>
      <c r="D16" s="8" t="s">
        <v>541</v>
      </c>
      <c r="E16" s="8" t="s">
        <v>542</v>
      </c>
      <c r="F16" s="8" t="s">
        <v>543</v>
      </c>
    </row>
    <row r="17" spans="1:6" ht="21.75" customHeight="1" x14ac:dyDescent="0.2">
      <c r="A17" s="14" t="s">
        <v>139</v>
      </c>
      <c r="B17" s="11" t="s">
        <v>98</v>
      </c>
      <c r="C17" s="11" t="s">
        <v>544</v>
      </c>
      <c r="D17" s="11" t="s">
        <v>545</v>
      </c>
      <c r="E17" s="11" t="s">
        <v>546</v>
      </c>
      <c r="F17" s="11" t="s">
        <v>547</v>
      </c>
    </row>
    <row r="18" spans="1:6" ht="21.75" customHeight="1" x14ac:dyDescent="0.2">
      <c r="A18" s="15" t="s">
        <v>285</v>
      </c>
      <c r="B18" s="8" t="s">
        <v>98</v>
      </c>
      <c r="C18" s="8" t="s">
        <v>548</v>
      </c>
      <c r="D18" s="8" t="s">
        <v>549</v>
      </c>
      <c r="E18" s="8" t="s">
        <v>550</v>
      </c>
      <c r="F18" s="8" t="s">
        <v>551</v>
      </c>
    </row>
    <row r="19" spans="1:6" ht="21.75" customHeight="1" x14ac:dyDescent="0.2">
      <c r="A19" s="14" t="s">
        <v>158</v>
      </c>
      <c r="B19" s="11" t="s">
        <v>98</v>
      </c>
      <c r="C19" s="11" t="s">
        <v>552</v>
      </c>
      <c r="D19" s="11" t="s">
        <v>250</v>
      </c>
      <c r="E19" s="11" t="s">
        <v>132</v>
      </c>
      <c r="F19" s="11" t="s">
        <v>553</v>
      </c>
    </row>
    <row r="20" spans="1:6" ht="21.75" customHeight="1" x14ac:dyDescent="0.2">
      <c r="A20" s="15" t="s">
        <v>258</v>
      </c>
      <c r="B20" s="8" t="s">
        <v>98</v>
      </c>
      <c r="C20" s="8" t="s">
        <v>259</v>
      </c>
      <c r="D20" s="8" t="s">
        <v>554</v>
      </c>
      <c r="E20" s="8" t="s">
        <v>555</v>
      </c>
      <c r="F20" s="8" t="s">
        <v>556</v>
      </c>
    </row>
    <row r="21" spans="1:6" ht="21.75" customHeight="1" x14ac:dyDescent="0.2">
      <c r="A21" s="14" t="s">
        <v>309</v>
      </c>
      <c r="B21" s="11" t="s">
        <v>98</v>
      </c>
      <c r="C21" s="11" t="s">
        <v>557</v>
      </c>
      <c r="D21" s="11" t="s">
        <v>558</v>
      </c>
      <c r="E21" s="11" t="s">
        <v>550</v>
      </c>
      <c r="F21" s="11" t="s">
        <v>559</v>
      </c>
    </row>
    <row r="22" spans="1:6" ht="21.75" customHeight="1" x14ac:dyDescent="0.2">
      <c r="A22" s="15" t="s">
        <v>560</v>
      </c>
      <c r="B22" s="8" t="s">
        <v>98</v>
      </c>
      <c r="C22" s="8" t="s">
        <v>561</v>
      </c>
      <c r="D22" s="8" t="s">
        <v>562</v>
      </c>
      <c r="E22" s="8" t="s">
        <v>40</v>
      </c>
      <c r="F22" s="8" t="s">
        <v>563</v>
      </c>
    </row>
    <row r="23" spans="1:6" ht="21.75" customHeight="1" x14ac:dyDescent="0.2">
      <c r="A23" s="14" t="s">
        <v>316</v>
      </c>
      <c r="B23" s="11" t="s">
        <v>98</v>
      </c>
      <c r="C23" s="11" t="s">
        <v>564</v>
      </c>
      <c r="D23" s="11" t="s">
        <v>558</v>
      </c>
      <c r="E23" s="11" t="s">
        <v>550</v>
      </c>
      <c r="F23" s="11" t="s">
        <v>565</v>
      </c>
    </row>
    <row r="24" spans="1:6" ht="21.75" customHeight="1" x14ac:dyDescent="0.2">
      <c r="A24" s="15" t="s">
        <v>185</v>
      </c>
      <c r="B24" s="8" t="s">
        <v>98</v>
      </c>
      <c r="C24" s="8" t="s">
        <v>566</v>
      </c>
      <c r="D24" s="8" t="s">
        <v>422</v>
      </c>
      <c r="E24" s="8" t="s">
        <v>31</v>
      </c>
      <c r="F24" s="8" t="s">
        <v>567</v>
      </c>
    </row>
    <row r="25" spans="1:6" ht="21.75" customHeight="1" x14ac:dyDescent="0.2">
      <c r="A25" s="14" t="s">
        <v>155</v>
      </c>
      <c r="B25" s="11" t="s">
        <v>98</v>
      </c>
      <c r="C25" s="11" t="s">
        <v>568</v>
      </c>
      <c r="D25" s="11" t="s">
        <v>569</v>
      </c>
      <c r="E25" s="11" t="s">
        <v>570</v>
      </c>
      <c r="F25" s="11" t="s">
        <v>571</v>
      </c>
    </row>
    <row r="26" spans="1:6" ht="21.75" customHeight="1" x14ac:dyDescent="0.2">
      <c r="A26" s="15" t="s">
        <v>151</v>
      </c>
      <c r="B26" s="8" t="s">
        <v>98</v>
      </c>
      <c r="C26" s="8" t="s">
        <v>568</v>
      </c>
      <c r="D26" s="8" t="s">
        <v>569</v>
      </c>
      <c r="E26" s="8" t="s">
        <v>570</v>
      </c>
      <c r="F26" s="8" t="s">
        <v>571</v>
      </c>
    </row>
    <row r="27" spans="1:6" ht="21.75" customHeight="1" x14ac:dyDescent="0.2">
      <c r="A27" s="14" t="s">
        <v>147</v>
      </c>
      <c r="B27" s="11" t="s">
        <v>98</v>
      </c>
      <c r="C27" s="11" t="s">
        <v>572</v>
      </c>
      <c r="D27" s="11" t="s">
        <v>569</v>
      </c>
      <c r="E27" s="11" t="s">
        <v>570</v>
      </c>
      <c r="F27" s="11" t="s">
        <v>573</v>
      </c>
    </row>
    <row r="28" spans="1:6" ht="21.75" customHeight="1" x14ac:dyDescent="0.2">
      <c r="A28" s="15" t="s">
        <v>143</v>
      </c>
      <c r="B28" s="8" t="s">
        <v>98</v>
      </c>
      <c r="C28" s="8" t="s">
        <v>574</v>
      </c>
      <c r="D28" s="8" t="s">
        <v>569</v>
      </c>
      <c r="E28" s="8" t="s">
        <v>570</v>
      </c>
      <c r="F28" s="8" t="s">
        <v>575</v>
      </c>
    </row>
    <row r="29" spans="1:6" ht="21.75" customHeight="1" x14ac:dyDescent="0.2">
      <c r="A29" s="14" t="s">
        <v>349</v>
      </c>
      <c r="B29" s="11" t="s">
        <v>349</v>
      </c>
      <c r="C29" s="11" t="s">
        <v>576</v>
      </c>
      <c r="D29" s="11" t="s">
        <v>577</v>
      </c>
      <c r="E29" s="11" t="s">
        <v>577</v>
      </c>
      <c r="F29" s="11" t="s">
        <v>578</v>
      </c>
    </row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Input Sheet</vt:lpstr>
      <vt:lpstr> Fleet → Mgmt+WLD</vt:lpstr>
      <vt:lpstr>Mgmt+WLD → Fleet</vt:lpstr>
      <vt:lpstr>Fleet → External</vt:lpstr>
      <vt:lpstr> Route Table</vt:lpstr>
      <vt:lpstr>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 G Sayyaparaju</cp:lastModifiedBy>
  <dcterms:modified xsi:type="dcterms:W3CDTF">2026-03-12T22:03:05Z</dcterms:modified>
</cp:coreProperties>
</file>