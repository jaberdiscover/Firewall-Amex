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38fc4e6ff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 Input Sheet" sheetId="1" r:id="R1cccfc73567e4aab"/>
    <x:sheet xmlns:r="http://schemas.openxmlformats.org/officeDocument/2006/relationships" name="Fleet → Mgmt+WLD" sheetId="2" r:id="R1abd8dece43e43a5"/>
    <x:sheet xmlns:r="http://schemas.openxmlformats.org/officeDocument/2006/relationships" name="Mgmt+WLD → Fleet" sheetId="3" r:id="Rd6b99a7e80634759"/>
    <x:sheet xmlns:r="http://schemas.openxmlformats.org/officeDocument/2006/relationships" name="Fleet → External" sheetId="4" r:id="Rdde7cac68e3c44b8"/>
    <x:sheet xmlns:r="http://schemas.openxmlformats.org/officeDocument/2006/relationships" name="Route Table" sheetId="5" r:id="R637c756d18cb4550"/>
    <x:sheet xmlns:r="http://schemas.openxmlformats.org/officeDocument/2006/relationships" name="Port Summary" sheetId="6" r:id="R8c81e87f9be9439f"/>
  </x:sheets>
</x:workbook>
</file>

<file path=xl/sharedStrings.xml><?xml version="1.0" encoding="utf-8"?>
<x:sst xmlns:x="http://schemas.openxmlformats.org/spreadsheetml/2006/main">
  <x:si>
    <x:t xml:space="preserve">AES-220  |  IP Address Input Sheet  |  Enter all IP values here</x:t>
  </x:si>
  <x:si>
    <x:t xml:space="preserve">Fill in the IP/Subnet for each component. All firewall rule tabs will auto-populate.</x:t>
  </x:si>
  <x:si>
    <x:t xml:space="preserve">#</x:t>
  </x:si>
  <x:si>
    <x:t xml:space="preserve">Component / Service</x:t>
  </x:si>
  <x:si>
    <x:t xml:space="preserve">Named Range Key</x:t>
  </x:si>
  <x:si>
    <x:t xml:space="preserve">AZ1  IP / Subnet</x:t>
  </x:si>
  <x:si>
    <x:t xml:space="preserve">AZ2  IP / Subnet</x:t>
  </x:si>
  <x:si>
    <x:t xml:space="preserve">AZ3  IP / Subnet</x:t>
  </x:si>
  <x:si>
    <x:t xml:space="preserve">🔷  FLEET COMPONENTS  (NSX Overlay Segment)</x:t>
  </x:si>
  <x:si>
    <x:t xml:space="preserve">F1</x:t>
  </x:si>
  <x:si>
    <x:t xml:space="preserve">VCF Operations Fleet Manager</x:t>
  </x:si>
  <x:si>
    <x:t xml:space="preserve">FLEET_MGR</x:t>
  </x:si>
  <x:si>
    <x:t xml:space="preserve">10.5.25.86</x:t>
  </x:si>
  <x:si>
    <x:t xml:space="preserve">F2</x:t>
  </x:si>
  <x:si>
    <x:t xml:space="preserve">VCF Operations (VCFO)</x:t>
  </x:si>
  <x:si>
    <x:t xml:space="preserve">VCFO</x:t>
  </x:si>
  <x:si>
    <x:t xml:space="preserve">10.5.25.64/26</x:t>
  </x:si>
  <x:si>
    <x:t xml:space="preserve">F3</x:t>
  </x:si>
  <x:si>
    <x:t xml:space="preserve">VCF Automation (VCFA)</x:t>
  </x:si>
  <x:si>
    <x:t xml:space="preserve">VCFA</x:t>
  </x:si>
  <x:si>
    <x:t xml:space="preserve">F4</x:t>
  </x:si>
  <x:si>
    <x:t xml:space="preserve">VCF Operations for Logs (VOL)</x:t>
  </x:si>
  <x:si>
    <x:t xml:space="preserve">VOL</x:t>
  </x:si>
  <x:si>
    <x:t xml:space="preserve">F5</x:t>
  </x:si>
  <x:si>
    <x:t xml:space="preserve">VCF Operations for Networks (VON)</x:t>
  </x:si>
  <x:si>
    <x:t xml:space="preserve">VON</x:t>
  </x:si>
  <x:si>
    <x:t xml:space="preserve">F6</x:t>
  </x:si>
  <x:si>
    <x:t xml:space="preserve">Identity Broker (VIDB)</x:t>
  </x:si>
  <x:si>
    <x:t xml:space="preserve">VIDB</x:t>
  </x:si>
  <x:si>
    <x:t xml:space="preserve">10.3.118.0/24</x:t>
  </x:si>
  <x:si>
    <x:t xml:space="preserve">10.5.59.0/24</x:t>
  </x:si>
  <x:si>
    <x:t xml:space="preserve">F7</x:t>
  </x:si>
  <x:si>
    <x:t xml:space="preserve">Fleet Overlay Subnet (overall)</x:t>
  </x:si>
  <x:si>
    <x:t xml:space="preserve">FLEET_SUBNET</x:t>
  </x:si>
  <x:si>
    <x:t xml:space="preserve">🔷  MANAGEMENT DOMAIN COMPONENTS  (VLAN 2600 — per AZ)</x:t>
  </x:si>
  <x:si>
    <x:t xml:space="preserve">M1</x:t>
  </x:si>
  <x:si>
    <x:t xml:space="preserve">vCenter Server</x:t>
  </x:si>
  <x:si>
    <x:t xml:space="preserve">VCENTER</x:t>
  </x:si>
  <x:si>
    <x:t xml:space="preserve">10.3.118.18</x:t>
  </x:si>
  <x:si>
    <x:t xml:space="preserve">10.5.59.4</x:t>
  </x:si>
  <x:si>
    <x:t xml:space="preserve">M2</x:t>
  </x:si>
  <x:si>
    <x:t xml:space="preserve">NSX Manager (Local)</x:t>
  </x:si>
  <x:si>
    <x:t xml:space="preserve">NSX_MGR</x:t>
  </x:si>
  <x:si>
    <x:t xml:space="preserve">M3</x:t>
  </x:si>
  <x:si>
    <x:t xml:space="preserve">NSX Global Manager</x:t>
  </x:si>
  <x:si>
    <x:t xml:space="preserve">NSX_GM</x:t>
  </x:si>
  <x:si>
    <x:t xml:space="preserve">M4</x:t>
  </x:si>
  <x:si>
    <x:t xml:space="preserve">SDDC Manager</x:t>
  </x:si>
  <x:si>
    <x:t xml:space="preserve">SDDC_MGR</x:t>
  </x:si>
  <x:si>
    <x:t xml:space="preserve">10.3.118.30</x:t>
  </x:si>
  <x:si>
    <x:t xml:space="preserve">10.5.59.30</x:t>
  </x:si>
  <x:si>
    <x:t xml:space="preserve">M5</x:t>
  </x:si>
  <x:si>
    <x:t xml:space="preserve">VCF Operations Collector</x:t>
  </x:si>
  <x:si>
    <x:t xml:space="preserve">VCFO_COLL</x:t>
  </x:si>
  <x:si>
    <x:t xml:space="preserve">10.3.118.35</x:t>
  </x:si>
  <x:si>
    <x:t xml:space="preserve">10.5.59.35</x:t>
  </x:si>
  <x:si>
    <x:t xml:space="preserve">M6</x:t>
  </x:si>
  <x:si>
    <x:t xml:space="preserve">ESXi Mgmt Subnet — Mgmt Domain</x:t>
  </x:si>
  <x:si>
    <x:t xml:space="preserve">ESXI_MGMT_MD</x:t>
  </x:si>
  <x:si>
    <x:t xml:space="preserve">10.5.58.0/24</x:t>
  </x:si>
  <x:si>
    <x:t xml:space="preserve">M7</x:t>
  </x:si>
  <x:si>
    <x:t xml:space="preserve">VCF OPS for Network Collector</x:t>
  </x:si>
  <x:si>
    <x:t xml:space="preserve">VON_COLL</x:t>
  </x:si>
  <x:si>
    <x:t xml:space="preserve">10.3.118.101</x:t>
  </x:si>
  <x:si>
    <x:t xml:space="preserve">M8</x:t>
  </x:si>
  <x:si>
    <x:t xml:space="preserve">VMware Live Recovery (VLR) Appliance — sfoMGMT-1-1-vlsr1.test.net</x:t>
  </x:si>
  <x:si>
    <x:t xml:space="preserve">VLR_MGMT</x:t>
  </x:si>
  <x:si>
    <x:t xml:space="preserve">192.168.188.1</x:t>
  </x:si>
  <x:si>
    <x:t xml:space="preserve">🔷  EDGE CLUSTER UPLINKS  (per AZ — Edge VM IPs  | ToR IPs )</x:t>
  </x:si>
  <x:si>
    <x:t xml:space="preserve">EU1</x:t>
  </x:si>
  <x:si>
    <x:t xml:space="preserve">Edge 1  —  Uplink 1  (VLAN 2606 — Rack 1)</x:t>
  </x:si>
  <x:si>
    <x:t xml:space="preserve">EDGE1_UPL1</x:t>
  </x:si>
  <x:si>
    <x:t xml:space="preserve">10.3.111.101</x:t>
  </x:si>
  <x:si>
    <x:t xml:space="preserve">10.3.111.231</x:t>
  </x:si>
  <x:si>
    <x:t xml:space="preserve">EU2</x:t>
  </x:si>
  <x:si>
    <x:t xml:space="preserve">Edge 1  —  Uplink 2  (VLAN 2607 — Rack 1)</x:t>
  </x:si>
  <x:si>
    <x:t xml:space="preserve">EDGE1_UPL2</x:t>
  </x:si>
  <x:si>
    <x:t xml:space="preserve">10.3.111.121</x:t>
  </x:si>
  <x:si>
    <x:t xml:space="preserve">10.3.111.241</x:t>
  </x:si>
  <x:si>
    <x:t xml:space="preserve">EU3</x:t>
  </x:si>
  <x:si>
    <x:t xml:space="preserve">Edge 2  —  Uplink 1  (VLAN 2606 — Rack 1)</x:t>
  </x:si>
  <x:si>
    <x:t xml:space="preserve">EDGE2_UPL1</x:t>
  </x:si>
  <x:si>
    <x:t xml:space="preserve">10.3.111.102</x:t>
  </x:si>
  <x:si>
    <x:t xml:space="preserve">10.3.111.232</x:t>
  </x:si>
  <x:si>
    <x:t xml:space="preserve">EU4</x:t>
  </x:si>
  <x:si>
    <x:t xml:space="preserve">Edge 2  —  Uplink 2  (VLAN 2607 — Rack 1)</x:t>
  </x:si>
  <x:si>
    <x:t xml:space="preserve">EDGE2_UPL2</x:t>
  </x:si>
  <x:si>
    <x:t xml:space="preserve">10.3.111.122</x:t>
  </x:si>
  <x:si>
    <x:t xml:space="preserve">10.3.111.242</x:t>
  </x:si>
  <x:si>
    <x:t xml:space="preserve">EU5</x:t>
  </x:si>
  <x:si>
    <x:t xml:space="preserve">Edge 3  —  Uplink 1  (VLAN 2608 — Rack 2)</x:t>
  </x:si>
  <x:si>
    <x:t xml:space="preserve">EDGE3_UPL1</x:t>
  </x:si>
  <x:si>
    <x:t xml:space="preserve">10.3.111.133</x:t>
  </x:si>
  <x:si>
    <x:t xml:space="preserve">10.5.25.13</x:t>
  </x:si>
  <x:si>
    <x:t xml:space="preserve">EU6</x:t>
  </x:si>
  <x:si>
    <x:t xml:space="preserve">Edge 3  —  Uplink 2  (VLAN 2609 — Rack 2)</x:t>
  </x:si>
  <x:si>
    <x:t xml:space="preserve">EDGE3_UPL2</x:t>
  </x:si>
  <x:si>
    <x:t xml:space="preserve">10.3.111.153</x:t>
  </x:si>
  <x:si>
    <x:t xml:space="preserve">10.5.25.23</x:t>
  </x:si>
  <x:si>
    <x:t xml:space="preserve">EU7</x:t>
  </x:si>
  <x:si>
    <x:t xml:space="preserve">Edge 4  —  Uplink 1  (VLAN 2608 — Rack 2)</x:t>
  </x:si>
  <x:si>
    <x:t xml:space="preserve">EDGE4_UPL1</x:t>
  </x:si>
  <x:si>
    <x:t xml:space="preserve">10.3.111.134</x:t>
  </x:si>
  <x:si>
    <x:t xml:space="preserve">10.5.25.14</x:t>
  </x:si>
  <x:si>
    <x:t xml:space="preserve">EU8</x:t>
  </x:si>
  <x:si>
    <x:t xml:space="preserve">Edge 4  —  Uplink 2  (VLAN 2609 — Rack 2)</x:t>
  </x:si>
  <x:si>
    <x:t xml:space="preserve">EDGE4_UPL2</x:t>
  </x:si>
  <x:si>
    <x:t xml:space="preserve">10.3.111.154</x:t>
  </x:si>
  <x:si>
    <x:t xml:space="preserve">10.5.25.24</x:t>
  </x:si>
  <x:si>
    <x:t xml:space="preserve">EU9</x:t>
  </x:si>
  <x:si>
    <x:t xml:space="preserve">Edge TEP Subnet  (VLAN 2603 — intra-AZ HA + GENEVE)</x:t>
  </x:si>
  <x:si>
    <x:t xml:space="preserve">EDGE_TEP</x:t>
  </x:si>
  <x:si>
    <x:t xml:space="preserve">10.5.236.0/24</x:t>
  </x:si>
  <x:si>
    <x:t xml:space="preserve">10.5.248.0/24</x:t>
  </x:si>
  <x:si>
    <x:t xml:space="preserve">EU10</x:t>
  </x:si>
  <x:si>
    <x:t xml:space="preserve">Remote TEP Subnet  (VLAN 2605 — cross-AZ GENEVE)</x:t>
  </x:si>
  <x:si>
    <x:t xml:space="preserve">EDGE_RTEP</x:t>
  </x:si>
  <x:si>
    <x:t xml:space="preserve">10.5.22.0/24</x:t>
  </x:si>
  <x:si>
    <x:t xml:space="preserve">10.5.24.0/24</x:t>
  </x:si>
  <x:si>
    <x:t xml:space="preserve">EU11</x:t>
  </x:si>
  <x:si>
    <x:t xml:space="preserve">ToR BGP Peer — Rack 1  Uplink 1  (VLAN 2606)</x:t>
  </x:si>
  <x:si>
    <x:t xml:space="preserve">TOR_R1_UPL1</x:t>
  </x:si>
  <x:si>
    <x:t xml:space="preserve">10.3.111.97</x:t>
  </x:si>
  <x:si>
    <x:t xml:space="preserve">10.3.111.225</x:t>
  </x:si>
  <x:si>
    <x:t xml:space="preserve">EU12</x:t>
  </x:si>
  <x:si>
    <x:t xml:space="preserve">ToR BGP Peer — Rack 1  Uplink 2  (VLAN 2607)</x:t>
  </x:si>
  <x:si>
    <x:t xml:space="preserve">TOR_R1_UPL2</x:t>
  </x:si>
  <x:si>
    <x:t xml:space="preserve">10.3.111.113</x:t>
  </x:si>
  <x:si>
    <x:t xml:space="preserve">EU13</x:t>
  </x:si>
  <x:si>
    <x:t xml:space="preserve">ToR BGP Peer — Rack 2  Uplink 1  (VLAN 2608)</x:t>
  </x:si>
  <x:si>
    <x:t xml:space="preserve">TOR_R2_UPL1</x:t>
  </x:si>
  <x:si>
    <x:t xml:space="preserve">10.3.111.129</x:t>
  </x:si>
  <x:si>
    <x:t xml:space="preserve">10.5.25.1</x:t>
  </x:si>
  <x:si>
    <x:t xml:space="preserve">EU14</x:t>
  </x:si>
  <x:si>
    <x:t xml:space="preserve">ToR BGP Peer — Rack 2  Uplink 2  (VLAN 2609)</x:t>
  </x:si>
  <x:si>
    <x:t xml:space="preserve">TOR_R2_UPL2</x:t>
  </x:si>
  <x:si>
    <x:t xml:space="preserve">🔷  EDGE NODE DETAIL  (per-node individual IPs — for NSX deployment config, not firewall rules)</x:t>
  </x:si>
  <x:si>
    <x:t xml:space="preserve">EN1_UPL1</x:t>
  </x:si>
  <x:si>
    <x:t xml:space="preserve">Edge Node 1 — Uplink 1 IP  (phxvq1cinflne01.phx.aexp.com)</x:t>
  </x:si>
  <x:si>
    <x:t xml:space="preserve">EN1_UPL1_IP</x:t>
  </x:si>
  <x:si>
    <x:t xml:space="preserve">EN1_UPL2</x:t>
  </x:si>
  <x:si>
    <x:t xml:space="preserve">Edge Node 1 — Uplink 2 IP  (phxvq1cinflne01.phx.aexp.com)</x:t>
  </x:si>
  <x:si>
    <x:t xml:space="preserve">EN1_UPL2_IP</x:t>
  </x:si>
  <x:si>
    <x:t xml:space="preserve">EN1_RTEP</x:t>
  </x:si>
  <x:si>
    <x:t xml:space="preserve">Edge Node 1 — RTEP IP  (phxvq1cinflne01.phx.aexp.com)</x:t>
  </x:si>
  <x:si>
    <x:t xml:space="preserve">EN1_RTEP_IP</x:t>
  </x:si>
  <x:si>
    <x:t xml:space="preserve">EN1_ETEP</x:t>
  </x:si>
  <x:si>
    <x:t xml:space="preserve">Edge Node 1 — Edge TEP IP  (phxvq1cinflne01.phx.aexp.com)</x:t>
  </x:si>
  <x:si>
    <x:t xml:space="preserve">EN1_ETEP_IP</x:t>
  </x:si>
  <x:si>
    <x:t xml:space="preserve">EN2_UPL1</x:t>
  </x:si>
  <x:si>
    <x:t xml:space="preserve">Edge Node 2 — Uplink 1 IP  (phxvq1cinflne02.phx.aexp.com)</x:t>
  </x:si>
  <x:si>
    <x:t xml:space="preserve">EN2_UPL1_IP</x:t>
  </x:si>
  <x:si>
    <x:t xml:space="preserve">EN2_UPL2</x:t>
  </x:si>
  <x:si>
    <x:t xml:space="preserve">Edge Node 2 — Uplink 2 IP  (phxvq1cinflne02.phx.aexp.com)</x:t>
  </x:si>
  <x:si>
    <x:t xml:space="preserve">EN2_UPL2_IP</x:t>
  </x:si>
  <x:si>
    <x:t xml:space="preserve">EN2_RTEP</x:t>
  </x:si>
  <x:si>
    <x:t xml:space="preserve">Edge Node 2 — RTEP IP  (phxvq1cinflne02.phx.aexp.com)</x:t>
  </x:si>
  <x:si>
    <x:t xml:space="preserve">EN2_RTEP_IP</x:t>
  </x:si>
  <x:si>
    <x:t xml:space="preserve">EN2_ETEP</x:t>
  </x:si>
  <x:si>
    <x:t xml:space="preserve">Edge Node 2 — Edge TEP IP  (phxvq1cinflne02.phx.aexp.com)</x:t>
  </x:si>
  <x:si>
    <x:t xml:space="preserve">EN2_ETEP_IP</x:t>
  </x:si>
  <x:si>
    <x:t xml:space="preserve">EN3_UPL1</x:t>
  </x:si>
  <x:si>
    <x:t xml:space="preserve">Edge Node 3 — Uplink 1 IP  (phxvq1cinflne03.phx.aexp.com)</x:t>
  </x:si>
  <x:si>
    <x:t xml:space="preserve">EN3_UPL1_IP</x:t>
  </x:si>
  <x:si>
    <x:t xml:space="preserve">EN3_UPL2</x:t>
  </x:si>
  <x:si>
    <x:t xml:space="preserve">Edge Node 3 — Uplink 2 IP  (phxvq1cinflne03.phx.aexp.com)</x:t>
  </x:si>
  <x:si>
    <x:t xml:space="preserve">EN3_UPL2_IP</x:t>
  </x:si>
  <x:si>
    <x:t xml:space="preserve">EN3_RTEP</x:t>
  </x:si>
  <x:si>
    <x:t xml:space="preserve">Edge Node 3 — RTEP IP  (phxvq1cinflne03.phx.aexp.com)</x:t>
  </x:si>
  <x:si>
    <x:t xml:space="preserve">EN3_RTEP_IP</x:t>
  </x:si>
  <x:si>
    <x:t xml:space="preserve">EN3_ETEP</x:t>
  </x:si>
  <x:si>
    <x:t xml:space="preserve">Edge Node 3 — Edge TEP IP  (phxvq1cinflne03.phx.aexp.com)</x:t>
  </x:si>
  <x:si>
    <x:t xml:space="preserve">EN3_ETEP_IP</x:t>
  </x:si>
  <x:si>
    <x:t xml:space="preserve">EN4_UPL1</x:t>
  </x:si>
  <x:si>
    <x:t xml:space="preserve">Edge Node 4 — Uplink 1 IP  (phxvq1cinflne04.phx.aexp.com)</x:t>
  </x:si>
  <x:si>
    <x:t xml:space="preserve">EN4_UPL1_IP</x:t>
  </x:si>
  <x:si>
    <x:t xml:space="preserve">EN4_UPL2</x:t>
  </x:si>
  <x:si>
    <x:t xml:space="preserve">Edge Node 4 — Uplink 2 IP  (phxvq1cinflne04.phx.aexp.com)</x:t>
  </x:si>
  <x:si>
    <x:t xml:space="preserve">EN4_UPL2_IP</x:t>
  </x:si>
  <x:si>
    <x:t xml:space="preserve">EN4_RTEP</x:t>
  </x:si>
  <x:si>
    <x:t xml:space="preserve">Edge Node 4 — RTEP IP  (phxvq1cinflne04.phx.aexp.com)</x:t>
  </x:si>
  <x:si>
    <x:t xml:space="preserve">EN4_RTEP_IP</x:t>
  </x:si>
  <x:si>
    <x:t xml:space="preserve">EN4_ETEP</x:t>
  </x:si>
  <x:si>
    <x:t xml:space="preserve">Edge Node 4 — Edge TEP IP  (phxvq1cinflne04.phx.aexp.com)</x:t>
  </x:si>
  <x:si>
    <x:t xml:space="preserve">EN4_ETEP_IP</x:t>
  </x:si>
  <x:si>
    <x:t xml:space="preserve">🔷  WORKLOAD DOMAIN  (per AZ)</x:t>
  </x:si>
  <x:si>
    <x:t xml:space="preserve">W1</x:t>
  </x:si>
  <x:si>
    <x:t xml:space="preserve">ESXi Mgmt Subnet — WLD</x:t>
  </x:si>
  <x:si>
    <x:t xml:space="preserve">ESXI_MGMT_WLD</x:t>
  </x:si>
  <x:si>
    <x:t xml:space="preserve">W2</x:t>
  </x:si>
  <x:si>
    <x:t xml:space="preserve">Workload Ext Subnet</x:t>
  </x:si>
  <x:si>
    <x:t xml:space="preserve">WLD_EXT</x:t>
  </x:si>
  <x:si>
    <x:t xml:space="preserve">W3</x:t>
  </x:si>
  <x:si>
    <x:t xml:space="preserve">VPC Segment Subnet</x:t>
  </x:si>
  <x:si>
    <x:t xml:space="preserve">VPC_SEG</x:t>
  </x:si>
  <x:si>
    <x:t xml:space="preserve">W4</x:t>
  </x:si>
  <x:si>
    <x:t xml:space="preserve">vCenter Server (WLD)</x:t>
  </x:si>
  <x:si>
    <x:t xml:space="preserve">VCENTER_WLD</x:t>
  </x:si>
  <x:si>
    <x:t xml:space="preserve">W5</x:t>
  </x:si>
  <x:si>
    <x:t xml:space="preserve">NSX Manager (WLD)</x:t>
  </x:si>
  <x:si>
    <x:t xml:space="preserve">NSX_MGR_WLD</x:t>
  </x:si>
  <x:si>
    <x:t xml:space="preserve">🔷  EXTERNAL SERVICES  (shared — no AZ split needed)</x:t>
  </x:si>
  <x:si>
    <x:t xml:space="preserve">E1</x:t>
  </x:si>
  <x:si>
    <x:t xml:space="preserve">DNS Server</x:t>
  </x:si>
  <x:si>
    <x:t xml:space="preserve">DNS_SRV</x:t>
  </x:si>
  <x:si>
    <x:t xml:space="preserve">N/A — shared</x:t>
  </x:si>
  <x:si>
    <x:t xml:space="preserve">E2</x:t>
  </x:si>
  <x:si>
    <x:t xml:space="preserve">NTP Server</x:t>
  </x:si>
  <x:si>
    <x:t xml:space="preserve">NTP_SRV</x:t>
  </x:si>
  <x:si>
    <x:t xml:space="preserve">E3</x:t>
  </x:si>
  <x:si>
    <x:t xml:space="preserve">AD / LDAP Server</x:t>
  </x:si>
  <x:si>
    <x:t xml:space="preserve">AD_SRV</x:t>
  </x:si>
  <x:si>
    <x:t xml:space="preserve">E4</x:t>
  </x:si>
  <x:si>
    <x:t xml:space="preserve">CA Certificate Server</x:t>
  </x:si>
  <x:si>
    <x:t xml:space="preserve">CA_SRV</x:t>
  </x:si>
  <x:si>
    <x:t xml:space="preserve">E5</x:t>
  </x:si>
  <x:si>
    <x:t xml:space="preserve">SFTP Backup Server</x:t>
  </x:si>
  <x:si>
    <x:t xml:space="preserve">SFTP_SRV</x:t>
  </x:si>
  <x:si>
    <x:t xml:space="preserve">E6</x:t>
  </x:si>
  <x:si>
    <x:t xml:space="preserve">Artifactory / Depot</x:t>
  </x:si>
  <x:si>
    <x:t xml:space="preserve">ARTIF_SRV</x:t>
  </x:si>
  <x:si>
    <x:t xml:space="preserve">LEGEND:</x:t>
  </x:si>
  <x:si>
    <x:t xml:space="preserve">Yellow cells = enter IP/subnet here</x:t>
  </x:si>
  <x:si>
    <x:t xml:space="preserve">Grey = not applicable (shared services)</x:t>
  </x:si>
  <x:si>
    <x:t xml:space="preserve">ex:</x:t>
  </x:si>
  <x:si>
    <x:t xml:space="preserve">phxvq1cinflne01.phx.aexp.com</x:t>
  </x:si>
  <x:si>
    <x:t xml:space="preserve">10.3.118.22</x:t>
  </x:si>
  <x:si>
    <x:t xml:space="preserve">uplink1</x:t>
  </x:si>
  <x:si>
    <x:t xml:space="preserve">uplink2</x:t>
  </x:si>
  <x:si>
    <x:t xml:space="preserve">RTEP</x:t>
  </x:si>
  <x:si>
    <x:t xml:space="preserve">10.5.22.21</x:t>
  </x:si>
  <x:si>
    <x:t xml:space="preserve">edgeTEP</x:t>
  </x:si>
  <x:si>
    <x:t xml:space="preserve">10.3.69.164</x:t>
  </x:si>
  <x:si>
    <x:t xml:space="preserve">Live Recovery</x:t>
  </x:si>
  <x:si>
    <x:t xml:space="preserve">VM??</x:t>
  </x:si>
  <x:si>
    <x:t xml:space="preserve">AES-220  |  Firewall Rules  |  Fleet → Management Domain &amp; WLD ESXi Hosts</x:t>
  </x:si>
  <x:si>
    <x:t xml:space="preserve">Source IP and Destination IP auto-populate from 'IP Input Sheet'.  Fill in IPs there first.</x:t>
  </x:si>
  <x:si>
    <x:t xml:space="preserve">Rule Name</x:t>
  </x:si>
  <x:si>
    <x:t xml:space="preserve">Source Component</x:t>
  </x:si>
  <x:si>
    <x:t xml:space="preserve">Source IP / Subnet</x:t>
  </x:si>
  <x:si>
    <x:t xml:space="preserve">Destination Component</x:t>
  </x:si>
  <x:si>
    <x:t xml:space="preserve">Destination IP / Subnet</x:t>
  </x:si>
  <x:si>
    <x:t xml:space="preserve">Port</x:t>
  </x:si>
  <x:si>
    <x:t xml:space="preserve">Protocol</x:t>
  </x:si>
  <x:si>
    <x:t xml:space="preserve">Service / Application</x:t>
  </x:si>
  <x:si>
    <x:t xml:space="preserve">Action</x:t>
  </x:si>
  <x:si>
    <x:t xml:space="preserve">Firewall Type</x:t>
  </x:si>
  <x:si>
    <x:t xml:space="preserve">Flow Direction</x:t>
  </x:si>
  <x:si>
    <x:t xml:space="preserve">Notes</x:t>
  </x:si>
  <x:si>
    <x:t xml:space="preserve">FM-01</x:t>
  </x:si>
  <x:si>
    <x:t xml:space="preserve">Fleet Mgr → SDDC Mgmt</x:t>
  </x:si>
  <x:si>
    <x:t xml:space="preserve">443</x:t>
  </x:si>
  <x:si>
    <x:t xml:space="preserve">TCP</x:t>
  </x:si>
  <x:si>
    <x:t xml:space="preserve">Lifecycle Management</x:t>
  </x:si>
  <x:si>
    <x:t xml:space="preserve">Allow</x:t>
  </x:si>
  <x:si>
    <x:t xml:space="preserve">Gateway FW</x:t>
  </x:si>
  <x:si>
    <x:t xml:space="preserve">Outbound</x:t>
  </x:si>
  <x:si>
    <x:t xml:space="preserve">Ticket req #3 — Fleet→Mgmt</x:t>
  </x:si>
  <x:si>
    <x:t xml:space="preserve">FM-02</x:t>
  </x:si>
  <x:si>
    <x:t xml:space="preserve">Fleet Mgr → VCF Operations</x:t>
  </x:si>
  <x:si>
    <x:t xml:space="preserve">VCF Ops collector metrics</x:t>
  </x:si>
  <x:si>
    <x:t xml:space="preserve">Bidirectional</x:t>
  </x:si>
  <x:si>
    <x:t xml:space="preserve">FM-03</x:t>
  </x:si>
  <x:si>
    <x:t xml:space="preserve">Fleet Mgr → vCenter</x:t>
  </x:si>
  <x:si>
    <x:t xml:space="preserve">vCenter config &amp; mgmt tasks</x:t>
  </x:si>
  <x:si>
    <x:t xml:space="preserve">FM-04</x:t>
  </x:si>
  <x:si>
    <x:t xml:space="preserve">Fleet Mgr → NSX Manager</x:t>
  </x:si>
  <x:si>
    <x:t xml:space="preserve">NSX Manager</x:t>
  </x:si>
  <x:si>
    <x:t xml:space="preserve">NSX networking &amp; security config</x:t>
  </x:si>
  <x:si>
    <x:t xml:space="preserve">FM-05</x:t>
  </x:si>
  <x:si>
    <x:t xml:space="preserve">Fleet Mgr → DNS</x:t>
  </x:si>
  <x:si>
    <x:t xml:space="preserve">53</x:t>
  </x:si>
  <x:si>
    <x:t xml:space="preserve">TCP/UDP</x:t>
  </x:si>
  <x:si>
    <x:t xml:space="preserve">Name resolution</x:t>
  </x:si>
  <x:si>
    <x:t xml:space="preserve">All Fleet+VCF components</x:t>
  </x:si>
  <x:si>
    <x:t xml:space="preserve">FM-06</x:t>
  </x:si>
  <x:si>
    <x:t xml:space="preserve">Fleet Mgr → NTP</x:t>
  </x:si>
  <x:si>
    <x:t xml:space="preserve">123</x:t>
  </x:si>
  <x:si>
    <x:t xml:space="preserve">UDP</x:t>
  </x:si>
  <x:si>
    <x:t xml:space="preserve">Time synchronisation</x:t>
  </x:si>
  <x:si>
    <x:t xml:space="preserve">FM-07</x:t>
  </x:si>
  <x:si>
    <x:t xml:space="preserve">Fleet Mgr → ESXi (HTTPS)</x:t>
  </x:si>
  <x:si>
    <x:t xml:space="preserve">ESXi Hosts (WLD)</x:t>
  </x:si>
  <x:si>
    <x:t xml:space="preserve">Secure web services / APIs</x:t>
  </x:si>
  <x:si>
    <x:t xml:space="preserve">FM-08</x:t>
  </x:si>
  <x:si>
    <x:t xml:space="preserve">Fleet Mgr → VCFA (SSH)</x:t>
  </x:si>
  <x:si>
    <x:t xml:space="preserve">VCF Automation</x:t>
  </x:si>
  <x:si>
    <x:t xml:space="preserve">22</x:t>
  </x:si>
  <x:si>
    <x:t xml:space="preserve">SSH lifecycle tasks</x:t>
  </x:si>
  <x:si>
    <x:t xml:space="preserve">Admin  restrict to jump host</x:t>
  </x:si>
  <x:si>
    <x:t xml:space="preserve">FM-09</x:t>
  </x:si>
  <x:si>
    <x:t xml:space="preserve">Fleet Mgr → VCFA+VIDB (6443)</x:t>
  </x:si>
  <x:si>
    <x:t xml:space="preserve">Identity Broker &amp; VCF Automation</x:t>
  </x:si>
  <x:si>
    <x:t xml:space="preserve">6443</x:t>
  </x:si>
  <x:si>
    <x:t xml:space="preserve">Control Plane API (k8s apiserver)</x:t>
  </x:si>
  <x:si>
    <x:t xml:space="preserve">FM-10</x:t>
  </x:si>
  <x:si>
    <x:t xml:space="preserve">Fleet Mgr → VCFA+VIDB (30006)</x:t>
  </x:si>
  <x:si>
    <x:t xml:space="preserve">30006</x:t>
  </x:si>
  <x:si>
    <x:t xml:space="preserve">Validates VCFA health pre-LCM</x:t>
  </x:si>
  <x:si>
    <x:t xml:space="preserve">FM-11</x:t>
  </x:si>
  <x:si>
    <x:t xml:space="preserve">Fleet Mgr → VCFA+VIDB (30005)</x:t>
  </x:si>
  <x:si>
    <x:t xml:space="preserve">30005</x:t>
  </x:si>
  <x:si>
    <x:t xml:space="preserve">API calls to VIDB &amp; VCFA</x:t>
  </x:si>
  <x:si>
    <x:t xml:space="preserve">FM-12</x:t>
  </x:si>
  <x:si>
    <x:t xml:space="preserve">Fleet Mgr → VCFA+VIDB (30001)</x:t>
  </x:si>
  <x:si>
    <x:t xml:space="preserve">30001</x:t>
  </x:si>
  <x:si>
    <x:t xml:space="preserve">Container images (k8s/VKS)</x:t>
  </x:si>
  <x:si>
    <x:t xml:space="preserve">FM-13</x:t>
  </x:si>
  <x:si>
    <x:t xml:space="preserve">Fleet Mgr → VCFA+VIDB (30000)</x:t>
  </x:si>
  <x:si>
    <x:t xml:space="preserve">30000</x:t>
  </x:si>
  <x:si>
    <x:t xml:space="preserve">FM-14</x:t>
  </x:si>
  <x:si>
    <x:t xml:space="preserve">Fleet Mgr → VCFA health</x:t>
  </x:si>
  <x:si>
    <x:t xml:space="preserve">8008</x:t>
  </x:si>
  <x:si>
    <x:t xml:space="preserve">Health check monitoring</x:t>
  </x:si>
  <x:si>
    <x:t xml:space="preserve">VO-01</x:t>
  </x:si>
  <x:si>
    <x:t xml:space="preserve">VCF Ops → NTP</x:t>
  </x:si>
  <x:si>
    <x:t xml:space="preserve">Time sync — primary/replica/data nodes</x:t>
  </x:si>
  <x:si>
    <x:t xml:space="preserve">VO-02</x:t>
  </x:si>
  <x:si>
    <x:t xml:space="preserve">VCF Ops → DNS</x:t>
  </x:si>
  <x:si>
    <x:t xml:space="preserve">DNS resolution</x:t>
  </x:si>
  <x:si>
    <x:t xml:space="preserve">VO-03</x:t>
  </x:si>
  <x:si>
    <x:t xml:space="preserve">VCF Ops → LDAP</x:t>
  </x:si>
  <x:si>
    <x:t xml:space="preserve">AD/LDAP Server</x:t>
  </x:si>
  <x:si>
    <x:t xml:space="preserve">389</x:t>
  </x:si>
  <x:si>
    <x:t xml:space="preserve">LDAP directory</x:t>
  </x:si>
  <x:si>
    <x:t xml:space="preserve">VO-04</x:t>
  </x:si>
  <x:si>
    <x:t xml:space="preserve">VCF Ops → LDAPS</x:t>
  </x:si>
  <x:si>
    <x:t xml:space="preserve">636</x:t>
  </x:si>
  <x:si>
    <x:t xml:space="preserve">LDAPS secure directory</x:t>
  </x:si>
  <x:si>
    <x:t xml:space="preserve">VO-05</x:t>
  </x:si>
  <x:si>
    <x:t xml:space="preserve">VCF Ops → Global Catalog</x:t>
  </x:si>
  <x:si>
    <x:t xml:space="preserve">3268/3269</x:t>
  </x:si>
  <x:si>
    <x:t xml:space="preserve">Global Catalog AD</x:t>
  </x:si>
  <x:si>
    <x:t xml:space="preserve">VO-06</x:t>
  </x:si>
  <x:si>
    <x:t xml:space="preserve">VCF Ops → SFTP</x:t>
  </x:si>
  <x:si>
    <x:t xml:space="preserve">SFTP Server</x:t>
  </x:si>
  <x:si>
    <x:t xml:space="preserve">VO-07</x:t>
  </x:si>
  <x:si>
    <x:t xml:space="preserve">VCF Ops → vCenter (inventory)</x:t>
  </x:si>
  <x:si>
    <x:t xml:space="preserve">10443</x:t>
  </x:si>
  <x:si>
    <x:t xml:space="preserve">vCenter inventory service</x:t>
  </x:si>
  <x:si>
    <x:t xml:space="preserve">VO-08</x:t>
  </x:si>
  <x:si>
    <x:t xml:space="preserve">VCF Ops → vCenter (HTTPS)</x:t>
  </x:si>
  <x:si>
    <x:t xml:space="preserve">HTTPS API comms</x:t>
  </x:si>
  <x:si>
    <x:t xml:space="preserve">VO-09</x:t>
  </x:si>
  <x:si>
    <x:t xml:space="preserve">VCF Ops → ESXi</x:t>
  </x:si>
  <x:si>
    <x:t xml:space="preserve">Management operations</x:t>
  </x:si>
  <x:si>
    <x:t xml:space="preserve">VO-10</x:t>
  </x:si>
  <x:si>
    <x:t xml:space="preserve">VCF Ops → NSX Manager</x:t>
  </x:si>
  <x:si>
    <x:t xml:space="preserve">NSX API metrics/inventory</x:t>
  </x:si>
  <x:si>
    <x:t xml:space="preserve">VA-01</x:t>
  </x:si>
  <x:si>
    <x:t xml:space="preserve">VCF Auto → vCenter</x:t>
  </x:si>
  <x:si>
    <x:t xml:space="preserve">API and Web Access — mgmt+API</x:t>
  </x:si>
  <x:si>
    <x:t xml:space="preserve">VA-02</x:t>
  </x:si>
  <x:si>
    <x:t xml:space="preserve">VCF Auto → ESXi (902)</x:t>
  </x:si>
  <x:si>
    <x:t xml:space="preserve">902</x:t>
  </x:si>
  <x:si>
    <x:t xml:space="preserve">VM Console VMRC/MKS</x:t>
  </x:si>
  <x:si>
    <x:t xml:space="preserve">VA-03</x:t>
  </x:si>
  <x:si>
    <x:t xml:space="preserve">VCF Auto → ESXi (443)</x:t>
  </x:si>
  <x:si>
    <x:t xml:space="preserve">Web Console</x:t>
  </x:si>
  <x:si>
    <x:t xml:space="preserve">VA-04</x:t>
  </x:si>
  <x:si>
    <x:t xml:space="preserve">VCF Auto → ESXi (SSH)</x:t>
  </x:si>
  <x:si>
    <x:t xml:space="preserve">SSH</x:t>
  </x:si>
  <x:si>
    <x:t xml:space="preserve">Admin restrict to jump host</x:t>
  </x:si>
  <x:si>
    <x:t xml:space="preserve">VA-05</x:t>
  </x:si>
  <x:si>
    <x:t xml:space="preserve">VCF Auto → NSX Mgr</x:t>
  </x:si>
  <x:si>
    <x:t xml:space="preserve">NSX Manager Cluster</x:t>
  </x:si>
  <x:si>
    <x:t xml:space="preserve">NSX Manager API HTTPS — policy provisioning</x:t>
  </x:si>
  <x:si>
    <x:t xml:space="preserve">VA-06</x:t>
  </x:si>
  <x:si>
    <x:t xml:space="preserve">VCF Auto → Supervisor VIP (443)</x:t>
  </x:si>
  <x:si>
    <x:t xml:space="preserve">Supervisor Control Plane VIP</x:t>
  </x:si>
  <x:si>
    <x:t xml:space="preserve">vSphere Supervisor API via LB</x:t>
  </x:si>
  <x:si>
    <x:t xml:space="preserve">VA-07</x:t>
  </x:si>
  <x:si>
    <x:t xml:space="preserve">VCF Auto → Supervisor VIP (6443)</x:t>
  </x:si>
  <x:si>
    <x:t xml:space="preserve">Kubernetes API server</x:t>
  </x:si>
  <x:si>
    <x:t xml:space="preserve">VN-01</x:t>
  </x:si>
  <x:si>
    <x:t xml:space="preserve">VON → vCenter (IPFIX)</x:t>
  </x:si>
  <x:si>
    <x:t xml:space="preserve">VCF Ops for Networks (VON)</x:t>
  </x:si>
  <x:si>
    <x:t xml:space="preserve">2055</x:t>
  </x:si>
  <x:si>
    <x:t xml:space="preserve">IPFIX (deprecated → use 4739)</x:t>
  </x:si>
  <x:si>
    <x:t xml:space="preserve">Port 2055 deprecated</x:t>
  </x:si>
  <x:si>
    <x:t xml:space="preserve">VN-02</x:t>
  </x:si>
  <x:si>
    <x:t xml:space="preserve">VON → ESXi (IPFIX)</x:t>
  </x:si>
  <x:si>
    <x:t xml:space="preserve">4739</x:t>
  </x:si>
  <x:si>
    <x:t xml:space="preserve">IPFIX + NETFLOW export</x:t>
  </x:si>
  <x:si>
    <x:t xml:space="preserve">VN-03</x:t>
  </x:si>
  <x:si>
    <x:t xml:space="preserve">VON → NSX Manager</x:t>
  </x:si>
  <x:si>
    <x:t xml:space="preserve">HTTPS NSX API — inventory+config+events</x:t>
  </x:si>
  <x:si>
    <x:t xml:space="preserve">VN-04</x:t>
  </x:si>
  <x:si>
    <x:t xml:space="preserve">VON → DNS</x:t>
  </x:si>
  <x:si>
    <x:t xml:space="preserve">DNS name resolution</x:t>
  </x:si>
  <x:si>
    <x:t xml:space="preserve">VN-05</x:t>
  </x:si>
  <x:si>
    <x:t xml:space="preserve">VON → NTP</x:t>
  </x:si>
  <x:si>
    <x:t xml:space="preserve">Time server</x:t>
  </x:si>
  <x:si>
    <x:t xml:space="preserve">VN-06</x:t>
  </x:si>
  <x:si>
    <x:t xml:space="preserve">VON → Switches (SNMP)</x:t>
  </x:si>
  <x:si>
    <x:t xml:space="preserve">Multi-Vendor Switches/Routers</x:t>
  </x:si>
  <x:si>
    <x:t xml:space="preserve">[Physical Device IPs]</x:t>
  </x:si>
  <x:si>
    <x:t xml:space="preserve">161</x:t>
  </x:si>
  <x:si>
    <x:t xml:space="preserve">SNMP Polling</x:t>
  </x:si>
  <x:si>
    <x:t xml:space="preserve">Confirm physical device IPs with network team</x:t>
  </x:si>
  <x:si>
    <x:t xml:space="preserve">VN-07</x:t>
  </x:si>
  <x:si>
    <x:t xml:space="preserve">VON → VON Collector (HTTPS)</x:t>
  </x:si>
  <x:si>
    <x:t xml:space="preserve">VCF OPS Network Collector (M7)</x:t>
  </x:si>
  <x:si>
    <x:t xml:space="preserve">VON Collector API — flow collection</x:t>
  </x:si>
  <x:si>
    <x:t xml:space="preserve">M7 — added per Raju</x:t>
  </x:si>
  <x:si>
    <x:t xml:space="preserve">VN-08</x:t>
  </x:si>
  <x:si>
    <x:t xml:space="preserve">VON → VON Collector (SSH)</x:t>
  </x:si>
  <x:si>
    <x:t xml:space="preserve">SSH management — collector node</x:t>
  </x:si>
  <x:si>
    <x:t xml:space="preserve">M7 — Admin, restrict to jump host</x:t>
  </x:si>
  <x:si>
    <x:t xml:space="preserve">VO-11</x:t>
  </x:si>
  <x:si>
    <x:t xml:space="preserve">VCFO → VON Collector</x:t>
  </x:si>
  <x:si>
    <x:t xml:space="preserve">VCFO → collector metrics/config</x:t>
  </x:si>
  <x:si>
    <x:t xml:space="preserve">M7 — per Raju</x:t>
  </x:si>
  <x:si>
    <x:t xml:space="preserve">BGP-01</x:t>
  </x:si>
  <x:si>
    <x:t xml:space="preserve">Edge 1 Uplink1 → ToR Rack1 BGP (VLAN 2606)</x:t>
  </x:si>
  <x:si>
    <x:t xml:space="preserve">NSX Edge 1 — Uplink 1 (Rack 1)</x:t>
  </x:si>
  <x:si>
    <x:t xml:space="preserve">ToR BGP Peer (VLAN 2606)</x:t>
  </x:si>
  <x:si>
    <x:t xml:space="preserve">179</x:t>
  </x:si>
  <x:si>
    <x:t xml:space="preserve">BGP peering — bidirectional</x:t>
  </x:si>
  <x:si>
    <x:t xml:space="preserve">EU1→EU11</x:t>
  </x:si>
  <x:si>
    <x:t xml:space="preserve">BGP-02</x:t>
  </x:si>
  <x:si>
    <x:t xml:space="preserve">Edge 1 Uplink2 → ToR Rack1 BGP (VLAN 2607)</x:t>
  </x:si>
  <x:si>
    <x:t xml:space="preserve">NSX Edge 1 — Uplink 2 (Rack 1)</x:t>
  </x:si>
  <x:si>
    <x:t xml:space="preserve">ToR BGP Peer (VLAN 2607)</x:t>
  </x:si>
  <x:si>
    <x:t xml:space="preserve">EU2→EU12</x:t>
  </x:si>
  <x:si>
    <x:t xml:space="preserve">BGP-03</x:t>
  </x:si>
  <x:si>
    <x:t xml:space="preserve">Edge 2 Uplink1 → ToR Rack1 BGP (VLAN 2606)</x:t>
  </x:si>
  <x:si>
    <x:t xml:space="preserve">NSX Edge 2 — Uplink 1 (Rack 1)</x:t>
  </x:si>
  <x:si>
    <x:t xml:space="preserve">EU3→EU11</x:t>
  </x:si>
  <x:si>
    <x:t xml:space="preserve">BGP-04</x:t>
  </x:si>
  <x:si>
    <x:t xml:space="preserve">Edge 2 Uplink2 → ToR Rack1 BGP (VLAN 2607)</x:t>
  </x:si>
  <x:si>
    <x:t xml:space="preserve">NSX Edge 2 — Uplink 2 (Rack 1)</x:t>
  </x:si>
  <x:si>
    <x:t xml:space="preserve">EU4→EU12</x:t>
  </x:si>
  <x:si>
    <x:t xml:space="preserve">BGP-05</x:t>
  </x:si>
  <x:si>
    <x:t xml:space="preserve">Edge 3 Uplink1 → ToR Rack2 BGP (VLAN 2608)</x:t>
  </x:si>
  <x:si>
    <x:t xml:space="preserve">NSX Edge 3 — Uplink 1 (Rack 2)</x:t>
  </x:si>
  <x:si>
    <x:t xml:space="preserve">ToR BGP Peer (VLAN 2608)</x:t>
  </x:si>
  <x:si>
    <x:t xml:space="preserve">EU5→EU13</x:t>
  </x:si>
  <x:si>
    <x:t xml:space="preserve">BGP-06</x:t>
  </x:si>
  <x:si>
    <x:t xml:space="preserve">Edge 3 Uplink2 → ToR Rack2 BGP (VLAN 2609)</x:t>
  </x:si>
  <x:si>
    <x:t xml:space="preserve">NSX Edge 3 — Uplink 2 (Rack 2)</x:t>
  </x:si>
  <x:si>
    <x:t xml:space="preserve">ToR BGP Peer (VLAN 2609)</x:t>
  </x:si>
  <x:si>
    <x:t xml:space="preserve">EU6→EU14</x:t>
  </x:si>
  <x:si>
    <x:t xml:space="preserve">BGP-07</x:t>
  </x:si>
  <x:si>
    <x:t xml:space="preserve">Edge 4 Uplink1 → ToR Rack2 BGP (VLAN 2608)</x:t>
  </x:si>
  <x:si>
    <x:t xml:space="preserve">NSX Edge 4 — Uplink 1 (Rack 2)</x:t>
  </x:si>
  <x:si>
    <x:t xml:space="preserve">EU7→EU13</x:t>
  </x:si>
  <x:si>
    <x:t xml:space="preserve">BGP-08</x:t>
  </x:si>
  <x:si>
    <x:t xml:space="preserve">Edge 4 Uplink2 → ToR Rack2 BGP (VLAN 2609)</x:t>
  </x:si>
  <x:si>
    <x:t xml:space="preserve">NSX Edge 4 — Uplink 2 (Rack 2)</x:t>
  </x:si>
  <x:si>
    <x:t xml:space="preserve">EU8→EU14</x:t>
  </x:si>
  <x:si>
    <x:t xml:space="preserve">TEP-01</x:t>
  </x:si>
  <x:si>
    <x:t xml:space="preserve">Edge TEP ↔ Host TEP (intra-AZ GENEVE)</x:t>
  </x:si>
  <x:si>
    <x:t xml:space="preserve">NSX Edge TEP</x:t>
  </x:si>
  <x:si>
    <x:t xml:space="preserve">NSX Host TEP (ESXi)</x:t>
  </x:si>
  <x:si>
    <x:t xml:space="preserve">6081</x:t>
  </x:si>
  <x:si>
    <x:t xml:space="preserve">GENEVE intra-AZ overlay</x:t>
  </x:si>
  <x:si>
    <x:t xml:space="preserve">EU9 — MTU 1600+ required</x:t>
  </x:si>
  <x:si>
    <x:t xml:space="preserve">TEP-02</x:t>
  </x:si>
  <x:si>
    <x:t xml:space="preserve">Edge TEP ↔ Edge TEP (HA heartbeat)</x:t>
  </x:si>
  <x:si>
    <x:t xml:space="preserve">NSX Edge TEP (peer)</x:t>
  </x:si>
  <x:si>
    <x:t xml:space="preserve">GENEVE intra-AZ Edge HA</x:t>
  </x:si>
  <x:si>
    <x:t xml:space="preserve">EU9 — same AZ only</x:t>
  </x:si>
  <x:si>
    <x:t xml:space="preserve">TEP-03</x:t>
  </x:si>
  <x:si>
    <x:t xml:space="preserve">Remote TEP cross-AZ GENEVE</x:t>
  </x:si>
  <x:si>
    <x:t xml:space="preserve">NSX Remote TEP (RTEP)</x:t>
  </x:si>
  <x:si>
    <x:t xml:space="preserve">NSX Remote TEP (peer AZ)</x:t>
  </x:si>
  <x:si>
    <x:t xml:space="preserve">GENEVE cross-AZ via Super Spine</x:t>
  </x:si>
  <x:si>
    <x:t xml:space="preserve">EU10 — VLAN 2605 via Super Spine</x:t>
  </x:si>
  <x:si>
    <x:t xml:space="preserve">BFD-01</x:t>
  </x:si>
  <x:si>
    <x:t xml:space="preserve">BFD — Edge1 Uplink1 to ToR fast failover</x:t>
  </x:si>
  <x:si>
    <x:t xml:space="preserve">NSX Edge 1 Uplink 1</x:t>
  </x:si>
  <x:si>
    <x:t xml:space="preserve">ToR BGP Peer Rack1 VLAN2606</x:t>
  </x:si>
  <x:si>
    <x:t xml:space="preserve">3784</x:t>
  </x:si>
  <x:si>
    <x:t xml:space="preserve">BFD fast failover</x:t>
  </x:si>
  <x:si>
    <x:t xml:space="preserve">BFD-02</x:t>
  </x:si>
  <x:si>
    <x:t xml:space="preserve">BFD — Edge1 Uplink2 to ToR fast failover</x:t>
  </x:si>
  <x:si>
    <x:t xml:space="preserve">NSX Edge 1 Uplink 2</x:t>
  </x:si>
  <x:si>
    <x:t xml:space="preserve">ToR BGP Peer Rack1 VLAN2607</x:t>
  </x:si>
  <x:si>
    <x:t xml:space="preserve">BFD-03</x:t>
  </x:si>
  <x:si>
    <x:t xml:space="preserve">BFD — Edge3 Uplink1 to ToR fast failover</x:t>
  </x:si>
  <x:si>
    <x:t xml:space="preserve">NSX Edge 3 Uplink 1</x:t>
  </x:si>
  <x:si>
    <x:t xml:space="preserve">ToR BGP Peer Rack2 VLAN2608</x:t>
  </x:si>
  <x:si>
    <x:t xml:space="preserve">BFD-04</x:t>
  </x:si>
  <x:si>
    <x:t xml:space="preserve">BFD — Edge3 Uplink2 to ToR fast failover</x:t>
  </x:si>
  <x:si>
    <x:t xml:space="preserve">NSX Edge 3 Uplink 2</x:t>
  </x:si>
  <x:si>
    <x:t xml:space="preserve">ToR BGP Peer Rack2 VLAN2609</x:t>
  </x:si>
  <x:si>
    <x:t xml:space="preserve">BFD-01b</x:t>
  </x:si>
  <x:si>
    <x:t xml:space="preserve">BFD Echo — Edge1 Uplink1 → ToR Rack1 VLAN2606 (3785)</x:t>
  </x:si>
  <x:si>
    <x:t xml:space="preserve">3785</x:t>
  </x:si>
  <x:si>
    <x:t xml:space="preserve">BFD echo mode — fast failover detection</x:t>
  </x:si>
  <x:si>
    <x:t xml:space="preserve"> BFD echo - EU1→EU1</x:t>
  </x:si>
  <x:si>
    <x:t xml:space="preserve">BFD-02b</x:t>
  </x:si>
  <x:si>
    <x:t xml:space="preserve">BFD Echo — Edge1 Uplink2 → ToR Rack1 VLAN2607 (3785)</x:t>
  </x:si>
  <x:si>
    <x:t xml:space="preserve"> BFD echo - EU2→EU12</x:t>
  </x:si>
  <x:si>
    <x:t xml:space="preserve">BFD-03b</x:t>
  </x:si>
  <x:si>
    <x:t xml:space="preserve">BFD Echo — Edge3 Uplink1 → ToR Rack2 VLAN2608 (3785)</x:t>
  </x:si>
  <x:si>
    <x:t xml:space="preserve">BFD echo -EU5→EU13</x:t>
  </x:si>
  <x:si>
    <x:t xml:space="preserve">BFD-04b</x:t>
  </x:si>
  <x:si>
    <x:t xml:space="preserve">BFD Echo — Edge3 Uplink2 → ToR Rack2 VLAN2609 (3785)</x:t>
  </x:si>
  <x:si>
    <x:t xml:space="preserve">BFD echo -  EU6→EU14</x:t>
  </x:si>
  <x:si>
    <x:t xml:space="preserve">BFD-09</x:t>
  </x:si>
  <x:si>
    <x:t xml:space="preserve">BFD Multi-hop — Edge → Remote Edge cross-AZ (4784)</x:t>
  </x:si>
  <x:si>
    <x:t xml:space="preserve">NSX Edge Nodes (local AZ — EDGE_TEP)</x:t>
  </x:si>
  <x:si>
    <x:t xml:space="preserve">NSX Edge Nodes (remote AZ — EDGE_TEP)</x:t>
  </x:si>
  <x:si>
    <x:t xml:space="preserve">4784</x:t>
  </x:si>
  <x:si>
    <x:t xml:space="preserve">BFD multi-hop RFC 5883 — cross-AZ Inter-SR fast failover</x:t>
  </x:si>
  <x:si>
    <x:t xml:space="preserve"> cross-AZ T0 SR failover  EU9(AZ1)↔EU9(AZ2)</x:t>
  </x:si>
  <x:si>
    <x:t xml:space="preserve">NSX FEDERATION INTER-SITE RULES  (GM ↔ LM)  </x:t>
  </x:si>
  <x:si>
    <x:t xml:space="preserve">FED-01</x:t>
  </x:si>
  <x:si>
    <x:t xml:space="preserve">NSX GM → NSX LM (all AZs) — API Sync</x:t>
  </x:si>
  <x:si>
    <x:t xml:space="preserve">NSX Global Manager (M3)</x:t>
  </x:si>
  <x:si>
    <x:t xml:space="preserve">NSX Local Manager (M2 — all AZs)</x:t>
  </x:si>
  <x:si>
    <x:t xml:space="preserve">API &amp; Management Plane synchronisation — Federation config push</x:t>
  </x:si>
  <x:si>
    <x:t xml:space="preserve">GM→LM TCP 443 must be whitelisted for Federation</x:t>
  </x:si>
  <x:si>
    <x:t xml:space="preserve">FED-03</x:t>
  </x:si>
  <x:si>
    <x:t xml:space="preserve">NSX GM → NSX LM (all AZs) — Async Replication</x:t>
  </x:si>
  <x:si>
    <x:t xml:space="preserve">1236</x:t>
  </x:si>
  <x:si>
    <x:t xml:space="preserve">Asynchronous Replication — core engine pushing Global config to Local Managers</x:t>
  </x:si>
  <x:si>
    <x:t xml:space="preserve">TCP 1236 NEW — critical for Federation policy distribution</x:t>
  </x:si>
  <x:si>
    <x:t xml:space="preserve">FED-05</x:t>
  </x:si>
  <x:si>
    <x:t xml:space="preserve">T0 SR Inter-Site BGP (AZ1 Edge ↔ AZ2 Edge)</x:t>
  </x:si>
  <x:si>
    <x:t xml:space="preserve">NSX Edge Uplinks (Active T0 SR)</x:t>
  </x:si>
  <x:si>
    <x:t xml:space="preserve">NSX Remote Edge (Peer AZ T0 SR)</x:t>
  </x:si>
  <x:si>
    <x:t xml:space="preserve">Inter-SR BGP — Service Router routing updates across AZs for Federation</x:t>
  </x:si>
  <x:si>
    <x:t xml:space="preserve"> inter-SR BGP distinct from Edge→ToR BGP (BGP-01 to BGP-08)</x:t>
  </x:si>
  <x:si>
    <x:t xml:space="preserve">NSX GM → LM  TCP 1236  </x:t>
  </x:si>
  <x:si>
    <x:t xml:space="preserve">NSX Local Manager (M2)</x:t>
  </x:si>
  <x:si>
    <x:t xml:space="preserve">NSX Federation Async Replication — GM pushes Global config to all Local Managers</x:t>
  </x:si>
  <x:si>
    <x:t xml:space="preserve"> — was MISSING, federation sync broken without this.</x:t>
  </x:si>
  <x:si>
    <x:t xml:space="preserve">NSX Edge → Remote Edge  TCP 179 Inter-SR BGP</x:t>
  </x:si>
  <x:si>
    <x:t xml:space="preserve">NSX Edge Node (local)</x:t>
  </x:si>
  <x:si>
    <x:t xml:space="preserve">NSX Remote Edge Node</x:t>
  </x:si>
  <x:si>
    <x:t xml:space="preserve">Inter-SR BGP cross-AZ routing updates between Service Routers</x:t>
  </x:si>
  <x:si>
    <x:t xml:space="preserve">Inter-site BGP — distinct from Edge→ToR BGP (BGP-01 to BGP-08).</x:t>
  </x:si>
  <x:si>
    <x:t xml:space="preserve">FED-07</x:t>
  </x:si>
  <x:si>
    <x:t xml:space="preserve">NSX GM Cluster — GM Node ↔ GM peer (TCP 15026)</x:t>
  </x:si>
  <x:si>
    <x:t xml:space="preserve">NSX Global Manager Node</x:t>
  </x:si>
  <x:si>
    <x:t xml:space="preserve">NSX Global Manager Node (peer)</x:t>
  </x:si>
  <x:si>
    <x:t xml:space="preserve">15026</x:t>
  </x:si>
  <x:si>
    <x:t xml:space="preserve">NSX GM cluster comms — quorum + config sync</x:t>
  </x:si>
  <x:si>
    <x:t xml:space="preserve"> GM cluster comm  M3↔M3</x:t>
  </x:si>
  <x:si>
    <x:t xml:space="preserve">VAMI-01</x:t>
  </x:si>
  <x:si>
    <x:t xml:space="preserve">Fleet Mgr → vCenter VAMI (5480)</x:t>
  </x:si>
  <x:si>
    <x:t xml:space="preserve">vCenter Server (VAMI)</x:t>
  </x:si>
  <x:si>
    <x:t xml:space="preserve">5480</x:t>
  </x:si>
  <x:si>
    <x:t xml:space="preserve">VAMI — Virtual Appliance Mgmt Interface — lifecycle/config/health</x:t>
  </x:si>
  <x:si>
    <x:t xml:space="preserve">Port note: Port 5480 VAMI. vlsr1 IP 192.168.188.1. Required for Fleet Mgr lifecycle ops on all VCF appliances.</x:t>
  </x:si>
  <x:si>
    <x:t xml:space="preserve">VAMI-02</x:t>
  </x:si>
  <x:si>
    <x:t xml:space="preserve">Fleet Mgr → SDDC Manager VAMI (5480)</x:t>
  </x:si>
  <x:si>
    <x:t xml:space="preserve">SDDC Manager (VAMI)</x:t>
  </x:si>
  <x:si>
    <x:t xml:space="preserve">SDDC Manager VAMI — lifecycle and config management</x:t>
  </x:si>
  <x:si>
    <x:t xml:space="preserve">Port note: Port 5480 — SDDC Manager appliance VAMI interface</x:t>
  </x:si>
  <x:si>
    <x:t xml:space="preserve">VAMI-03</x:t>
  </x:si>
  <x:si>
    <x:t xml:space="preserve">Fleet Mgr → NSX Manager VAMI (5480)</x:t>
  </x:si>
  <x:si>
    <x:t xml:space="preserve">NSX Manager (VAMI)</x:t>
  </x:si>
  <x:si>
    <x:t xml:space="preserve">NSX Manager VAMI — appliance lifecycle management</x:t>
  </x:si>
  <x:si>
    <x:t xml:space="preserve">Port note: Port 5480 — NSX Manager appliance VAMI</x:t>
  </x:si>
  <x:si>
    <x:t xml:space="preserve">VAMI-04</x:t>
  </x:si>
  <x:si>
    <x:t xml:space="preserve">VCFA → All VCF Appliances VAMI (5480)</x:t>
  </x:si>
  <x:si>
    <x:t xml:space="preserve">vCenter / NSX / SDDC (VAMI)</x:t>
  </x:si>
  <x:si>
    <x:t xml:space="preserve">VCFA automation engine — drives appliance lifecycle via VAMI</x:t>
  </x:si>
  <x:si>
    <x:t xml:space="preserve">Port note: Port 5480 — VCFA lifecycle automation needs VAMI on all managed appliances</x:t>
  </x:si>
  <x:si>
    <x:t xml:space="preserve">SRM-01</x:t>
  </x:si>
  <x:si>
    <x:t xml:space="preserve">vSphere Replication → vCenter SRM Listener (9086)</x:t>
  </x:si>
  <x:si>
    <x:t xml:space="preserve">vSphere Replication Appliance (M8)</x:t>
  </x:si>
  <x:si>
    <x:t xml:space="preserve">vCenter / SRM (sfoMGMT-1-1-VC1)</x:t>
  </x:si>
  <x:si>
    <x:t xml:space="preserve">9086</x:t>
  </x:si>
  <x:si>
    <x:t xml:space="preserve">SRM listener — replication traffic + PSC/SSO registration. Local host 192.168.188.1</x:t>
  </x:si>
  <x:si>
    <x:t xml:space="preserve">Port note: Port 9086 SRM listener. sfoMGMT-1-1-VC1.test.net. Local 192.168.188.1. Verify with network team before whitelist.</x:t>
  </x:si>
  <x:si>
    <x:t xml:space="preserve">SRM-02</x:t>
  </x:si>
  <x:si>
    <x:t xml:space="preserve">Remote Site → SRM Listener (9086 inbound)</x:t>
  </x:si>
  <x:si>
    <x:t xml:space="preserve">Remote Site vSphere Replication</x:t>
  </x:si>
  <x:si>
    <x:t xml:space="preserve">[Remote Site IP]</x:t>
  </x:si>
  <x:si>
    <x:t xml:space="preserve">SRM Local Listener (M8 — 192.168.188.1)</x:t>
  </x:si>
  <x:si>
    <x:t xml:space="preserve">SRM cross-site replication — remote site connects to local SRM listener</x:t>
  </x:si>
  <x:si>
    <x:t xml:space="preserve">Inbound</x:t>
  </x:si>
  <x:si>
    <x:t xml:space="preserve">Port note: Port 9086 inbound from remote replication site. Required for paired-site failover.</x:t>
  </x:si>
  <x:si>
    <x:t xml:space="preserve">🔷  VMware Live Recovery (VLR) / Site Protection &amp; DR Rules</x:t>
  </x:si>
  <x:si>
    <x:t xml:space="preserve">LVR-01</x:t>
  </x:si>
  <x:si>
    <x:t xml:space="preserve">VLR → vCenter (HTTPS/SSO Registration)</x:t>
  </x:si>
  <x:si>
    <x:t xml:space="preserve">VMware Live Recovery (VLR)</x:t>
  </x:si>
  <x:si>
    <x:t xml:space="preserve">SSO registration + API</x:t>
  </x:si>
  <x:si>
    <x:t xml:space="preserve">CF row 119/148 — VLR registers with vCenter SSO + certificate replacement</x:t>
  </x:si>
  <x:si>
    <x:t xml:space="preserve">CF row 119 — VLR registers with vCenter SSO at :5480 and :443</x:t>
  </x:si>
  <x:si>
    <x:t xml:space="preserve">LVR-02</x:t>
  </x:si>
  <x:si>
    <x:t xml:space="preserve">VLR → vCenter VAMI (5480)</x:t>
  </x:si>
  <x:si>
    <x:t xml:space="preserve">VAMI appliance management</x:t>
  </x:si>
  <x:si>
    <x:t xml:space="preserve">CF row 119 — VLR VAMI at :5480 for certificate + initial config</x:t>
  </x:si>
  <x:si>
    <x:t xml:space="preserve">CF row 119 — VLR VAMI management interface</x:t>
  </x:si>
  <x:si>
    <x:t xml:space="preserve">LVR-03</x:t>
  </x:si>
  <x:si>
    <x:t xml:space="preserve">VLR → ESXi Heartbeat (902)</x:t>
  </x:si>
  <x:si>
    <x:t xml:space="preserve">ESXi Hosts (Mgmt Domain)</x:t>
  </x:si>
  <x:si>
    <x:t xml:space="preserve">Heartbeat / VMRC</x:t>
  </x:si>
  <x:si>
    <x:t xml:space="preserve">CF row 165 — vSphere Replication VMkernel heartbeat to ESXi hosts</x:t>
  </x:si>
  <x:si>
    <x:t xml:space="preserve">CF row 165-175 — vSphere Replication VMkernel NFC traffic to ESXi hosts</x:t>
  </x:si>
  <x:si>
    <x:t xml:space="preserve">LVR-04</x:t>
  </x:si>
  <x:si>
    <x:t xml:space="preserve">VLR ↔ ESXi vSphere Replication NFC (8043)</x:t>
  </x:si>
  <x:si>
    <x:t xml:space="preserve">8043</x:t>
  </x:si>
  <x:si>
    <x:t xml:space="preserve">vSphere Replication NFC</x:t>
  </x:si>
  <x:si>
    <x:t xml:space="preserve">CF row 165-175 — vSphere Replication changed data block transfer</x:t>
  </x:si>
  <x:si>
    <x:t xml:space="preserve">LVR-05</x:t>
  </x:si>
  <x:si>
    <x:t xml:space="preserve">VLR ↔ ESXi vSphere Replication NFC (31031)</x:t>
  </x:si>
  <x:si>
    <x:t xml:space="preserve">31031</x:t>
  </x:si>
  <x:si>
    <x:t xml:space="preserve">vSphere Replication NFC changed blocks</x:t>
  </x:si>
  <x:si>
    <x:t xml:space="preserve">CF row 165-175 — vSphere Replication NFC alternate port</x:t>
  </x:si>
  <x:si>
    <x:t xml:space="preserve">LVR-06</x:t>
  </x:si>
  <x:si>
    <x:t xml:space="preserve">VLR ↔ ESXi vSphere Replication NFC (44046)</x:t>
  </x:si>
  <x:si>
    <x:t xml:space="preserve">44046</x:t>
  </x:si>
  <x:si>
    <x:t xml:space="preserve">vSphere Replication NFC alternate</x:t>
  </x:si>
  <x:si>
    <x:t xml:space="preserve">CF row 165-175 — Alternate NFC port for vSphere Replication</x:t>
  </x:si>
  <x:si>
    <x:t xml:space="preserve">CF row 112 — Domain Name Servers required for LVR</x:t>
  </x:si>
  <x:si>
    <x:t xml:space="preserve">LVR-07</x:t>
  </x:si>
  <x:si>
    <x:t xml:space="preserve">VLR → DNS</x:t>
  </x:si>
  <x:si>
    <x:t xml:space="preserve">CF row 112 — Domain Name Servers required for VLR appliance</x:t>
  </x:si>
  <x:si>
    <x:t xml:space="preserve">CF row 108 — NTP Servers required for LVR</x:t>
  </x:si>
  <x:si>
    <x:t xml:space="preserve">LVR-08</x:t>
  </x:si>
  <x:si>
    <x:t xml:space="preserve">VLR → NTP</x:t>
  </x:si>
  <x:si>
    <x:t xml:space="preserve">Time sync</x:t>
  </x:si>
  <x:si>
    <x:t xml:space="preserve">CF row 108 — NTP Servers required for VLR appliance</x:t>
  </x:si>
  <x:si>
    <x:t xml:space="preserve">AES-220  |  Firewall Rules  |  Management Domain &amp; WLD ESXi → Fleet</x:t>
  </x:si>
  <x:si>
    <x:t xml:space="preserve">MF-01</x:t>
  </x:si>
  <x:si>
    <x:t xml:space="preserve">vCenter → Fleet Mgr (HTTPS)</x:t>
  </x:si>
  <x:si>
    <x:t xml:space="preserve">VCF Ops Fleet Manager</x:t>
  </x:si>
  <x:si>
    <x:t xml:space="preserve">Core APIs/HTTPS lifecycle+orchestration</x:t>
  </x:si>
  <x:si>
    <x:t xml:space="preserve">Ticket req #4  Mgmt→Fleet</x:t>
  </x:si>
  <x:si>
    <x:t xml:space="preserve">MF-02</x:t>
  </x:si>
  <x:si>
    <x:t xml:space="preserve">vCenter → VCFO (API)</x:t>
  </x:si>
  <x:si>
    <x:t xml:space="preserve">API comms bidirectional</x:t>
  </x:si>
  <x:si>
    <x:t xml:space="preserve">MF-03</x:t>
  </x:si>
  <x:si>
    <x:t xml:space="preserve">vCenter → VCFO (node mgr)</x:t>
  </x:si>
  <x:si>
    <x:t xml:space="preserve">8443</x:t>
  </x:si>
  <x:si>
    <x:t xml:space="preserve">Node Manager</x:t>
  </x:si>
  <x:si>
    <x:t xml:space="preserve">MF-04</x:t>
  </x:si>
  <x:si>
    <x:t xml:space="preserve">vCenter → VCFA (API)</x:t>
  </x:si>
  <x:si>
    <x:t xml:space="preserve">API bidirectional</x:t>
  </x:si>
  <x:si>
    <x:t xml:space="preserve">MF-05</x:t>
  </x:si>
  <x:si>
    <x:t xml:space="preserve">vCenter → VOL (syslog)</x:t>
  </x:si>
  <x:si>
    <x:t xml:space="preserve">VCF Operations for Logs</x:t>
  </x:si>
  <x:si>
    <x:t xml:space="preserve">514</x:t>
  </x:si>
  <x:si>
    <x:t xml:space="preserve">Syslog remote logging</x:t>
  </x:si>
  <x:si>
    <x:t xml:space="preserve">MF-06</x:t>
  </x:si>
  <x:si>
    <x:t xml:space="preserve">vCenter → VOL (syslog TLS)</x:t>
  </x:si>
  <x:si>
    <x:t xml:space="preserve">1514</x:t>
  </x:si>
  <x:si>
    <x:t xml:space="preserve">Syslog over TLS</x:t>
  </x:si>
  <x:si>
    <x:t xml:space="preserve">MF-07</x:t>
  </x:si>
  <x:si>
    <x:t xml:space="preserve">vCenter → VON (IPFIX)</x:t>
  </x:si>
  <x:si>
    <x:t xml:space="preserve">VCF Ops for Networks</x:t>
  </x:si>
  <x:si>
    <x:t xml:space="preserve">IPFIX flow data vDS→NSX</x:t>
  </x:si>
  <x:si>
    <x:t xml:space="preserve">vDS distributed switches send IPFIX</x:t>
  </x:si>
  <x:si>
    <x:t xml:space="preserve">MF-08</x:t>
  </x:si>
  <x:si>
    <x:t xml:space="preserve">NSX Manager → VCFO (API)</x:t>
  </x:si>
  <x:si>
    <x:t xml:space="preserve">API/inventory collection</x:t>
  </x:si>
  <x:si>
    <x:t xml:space="preserve">MF-09</x:t>
  </x:si>
  <x:si>
    <x:t xml:space="preserve">NSX Mgr → VOL (syslog)</x:t>
  </x:si>
  <x:si>
    <x:t xml:space="preserve">NSX node syslog</x:t>
  </x:si>
  <x:si>
    <x:t xml:space="preserve">MF-10</x:t>
  </x:si>
  <x:si>
    <x:t xml:space="preserve">NSX Mgr → VOL (syslog TLS)</x:t>
  </x:si>
  <x:si>
    <x:t xml:space="preserve">6514</x:t>
  </x:si>
  <x:si>
    <x:t xml:space="preserve">MF-11</x:t>
  </x:si>
  <x:si>
    <x:t xml:space="preserve">SDDC Mgr → Fleet Mgr (HTTPS)</x:t>
  </x:si>
  <x:si>
    <x:t xml:space="preserve">HTTPS+API — fleet orchestration</x:t>
  </x:si>
  <x:si>
    <x:t xml:space="preserve">MF-12</x:t>
  </x:si>
  <x:si>
    <x:t xml:space="preserve">SDDC Mgr → Fleet Mgr (SSH)</x:t>
  </x:si>
  <x:si>
    <x:t xml:space="preserve">SSH — deployment+troubleshooting</x:t>
  </x:si>
  <x:si>
    <x:t xml:space="preserve">MF-13</x:t>
  </x:si>
  <x:si>
    <x:t xml:space="preserve">SDDC Mgr → VCFA (HTTPS)</x:t>
  </x:si>
  <x:si>
    <x:t xml:space="preserve">API access management</x:t>
  </x:si>
  <x:si>
    <x:t xml:space="preserve">MF-14</x:t>
  </x:si>
  <x:si>
    <x:t xml:space="preserve">SDDC Mgr → VCFA (SSH)</x:t>
  </x:si>
  <x:si>
    <x:t xml:space="preserve">SSH cluster nodes</x:t>
  </x:si>
  <x:si>
    <x:t xml:space="preserve">MF-15</x:t>
  </x:si>
  <x:si>
    <x:t xml:space="preserve">SDDC Mgr → VCFO (HTTPS)</x:t>
  </x:si>
  <x:si>
    <x:t xml:space="preserve">API access cluster+nodes</x:t>
  </x:si>
  <x:si>
    <x:t xml:space="preserve">MF-16</x:t>
  </x:si>
  <x:si>
    <x:t xml:space="preserve">SDDC Mgr → VCFO (SSH)</x:t>
  </x:si>
  <x:si>
    <x:t xml:space="preserve">SSH cluster+collector nodes</x:t>
  </x:si>
  <x:si>
    <x:t xml:space="preserve">MF-17</x:t>
  </x:si>
  <x:si>
    <x:t xml:space="preserve">SDDC Mgr → VOL (syslog)</x:t>
  </x:si>
  <x:si>
    <x:t xml:space="preserve">Syslog based logging</x:t>
  </x:si>
  <x:si>
    <x:t xml:space="preserve">MF-18</x:t>
  </x:si>
  <x:si>
    <x:t xml:space="preserve">SDDC Mgr → VOL (9000)</x:t>
  </x:si>
  <x:si>
    <x:t xml:space="preserve">9000</x:t>
  </x:si>
  <x:si>
    <x:t xml:space="preserve">Log ingestion API CFAPI unencrypted</x:t>
  </x:si>
  <x:si>
    <x:t xml:space="preserve">MF-19</x:t>
  </x:si>
  <x:si>
    <x:t xml:space="preserve">SDDC Mgr → VOL (HTTPS)</x:t>
  </x:si>
  <x:si>
    <x:t xml:space="preserve">Logs cluster VIP+nodes</x:t>
  </x:si>
  <x:si>
    <x:t xml:space="preserve">MF-20</x:t>
  </x:si>
  <x:si>
    <x:t xml:space="preserve">SDDC Mgr → VOL (9543)</x:t>
  </x:si>
  <x:si>
    <x:t xml:space="preserve">9543</x:t>
  </x:si>
  <x:si>
    <x:t xml:space="preserve">API access management ops</x:t>
  </x:si>
  <x:si>
    <x:t xml:space="preserve">MF-21</x:t>
  </x:si>
  <x:si>
    <x:t xml:space="preserve">SDDC Mgr → VIDB (HTTPS)</x:t>
  </x:si>
  <x:si>
    <x:t xml:space="preserve">VCF SSO API — SDDC Mgr auth</x:t>
  </x:si>
  <x:si>
    <x:t xml:space="preserve">Critical  SSO dependency</x:t>
  </x:si>
  <x:si>
    <x:t xml:space="preserve">MF-22</x:t>
  </x:si>
  <x:si>
    <x:t xml:space="preserve">SDDC Mgr → VIDB (SSH)</x:t>
  </x:si>
  <x:si>
    <x:t xml:space="preserve">SSH SSO bringup ops</x:t>
  </x:si>
  <x:si>
    <x:t xml:space="preserve">Admin — restrict to jump host</x:t>
  </x:si>
  <x:si>
    <x:t xml:space="preserve">MF-23</x:t>
  </x:si>
  <x:si>
    <x:t xml:space="preserve">ESXi → VOL (syslog)</x:t>
  </x:si>
  <x:si>
    <x:t xml:space="preserve">vSphere host syslog to VOL</x:t>
  </x:si>
  <x:si>
    <x:t xml:space="preserve">Ticket req #4 — ESXi→Fleet</x:t>
  </x:si>
  <x:si>
    <x:t xml:space="preserve">MF-24</x:t>
  </x:si>
  <x:si>
    <x:t xml:space="preserve">ESXi → VOL (syslog TLS)</x:t>
  </x:si>
  <x:si>
    <x:t xml:space="preserve">Secure syslog over TLS</x:t>
  </x:si>
  <x:si>
    <x:t xml:space="preserve">MF-25</x:t>
  </x:si>
  <x:si>
    <x:t xml:space="preserve">ESXi → VON (IPFIX)</x:t>
  </x:si>
  <x:si>
    <x:t xml:space="preserve">IPFIX flow export from ESXi</x:t>
  </x:si>
  <x:si>
    <x:t xml:space="preserve">MF-26</x:t>
  </x:si>
  <x:si>
    <x:t xml:space="preserve">ESXi (Mgmt) → VOL (syslog)</x:t>
  </x:si>
  <x:si>
    <x:t xml:space="preserve">Mgmt domain ESXi syslog</x:t>
  </x:si>
  <x:si>
    <x:t xml:space="preserve">MF-27</x:t>
  </x:si>
  <x:si>
    <x:t xml:space="preserve">ESXi (Mgmt) → VOL (TLS)</x:t>
  </x:si>
  <x:si>
    <x:t xml:space="preserve">Secure syslog TLS</x:t>
  </x:si>
  <x:si>
    <x:t xml:space="preserve">MF-28</x:t>
  </x:si>
  <x:si>
    <x:t xml:space="preserve">ICMP All → Fleet (reachability)</x:t>
  </x:si>
  <x:si>
    <x:t xml:space="preserve">All Mgmt Domain Components</x:t>
  </x:si>
  <x:si>
    <x:t xml:space="preserve">All Fleet Components</x:t>
  </x:si>
  <x:si>
    <x:t xml:space="preserve">[All Fleet IPs]</x:t>
  </x:si>
  <x:si>
    <x:t xml:space="preserve">ICMP</x:t>
  </x:si>
  <x:si>
    <x:t xml:space="preserve">IP reachability — ping/traceroute</x:t>
  </x:si>
  <x:si>
    <x:t xml:space="preserve">ALL Fleet-level &amp; VCF instance-level — mandatory</x:t>
  </x:si>
  <x:si>
    <x:t xml:space="preserve">MF-29</x:t>
  </x:si>
  <x:si>
    <x:t xml:space="preserve">VON Collector → VON (HTTPS)</x:t>
  </x:si>
  <x:si>
    <x:t xml:space="preserve">Collector → VON bidirectional API</x:t>
  </x:si>
  <x:si>
    <x:t xml:space="preserve">MF-30</x:t>
  </x:si>
  <x:si>
    <x:t xml:space="preserve">VON Collector → NSX Manager</x:t>
  </x:si>
  <x:si>
    <x:t xml:space="preserve">Collector pulls NSX flow/topology data</x:t>
  </x:si>
  <x:si>
    <x:t xml:space="preserve">MF-31</x:t>
  </x:si>
  <x:si>
    <x:t xml:space="preserve">VON Collector → vCenter</x:t>
  </x:si>
  <x:si>
    <x:t xml:space="preserve">Collector pulls vCenter inventory</x:t>
  </x:si>
  <x:si>
    <x:t xml:space="preserve">MF-32</x:t>
  </x:si>
  <x:si>
    <x:t xml:space="preserve">SDDC Mgr → VON Collector</x:t>
  </x:si>
  <x:si>
    <x:t xml:space="preserve">SDDC lifecycle management of collector</x:t>
  </x:si>
  <x:si>
    <x:t xml:space="preserve">NSX FEDERATION INTER-SITE RULES  (LM ↔ GM)  —  Added per NSX team requirement</x:t>
  </x:si>
  <x:si>
    <x:t xml:space="preserve">FED-02</x:t>
  </x:si>
  <x:si>
    <x:t xml:space="preserve">NSX LM → NSX GM — API Sync (reverse)</x:t>
  </x:si>
  <x:si>
    <x:t xml:space="preserve">API &amp; Management Plane synchronisation — LM status reporting to GM</x:t>
  </x:si>
  <x:si>
    <x:t xml:space="preserve">LM→GM TCP 443 bidirectional with FED-01</x:t>
  </x:si>
  <x:si>
    <x:t xml:space="preserve">FED-04</x:t>
  </x:si>
  <x:si>
    <x:t xml:space="preserve">NSX LM → NSX GM — Async Replication (reverse)</x:t>
  </x:si>
  <x:si>
    <x:t xml:space="preserve">Asynchronous Replication acknowledgement — LM confirms receipt to GM</x:t>
  </x:si>
  <x:si>
    <x:t xml:space="preserve">TCP 1236 bidirectional with FED-03 — CRITICAL</x:t>
  </x:si>
  <x:si>
    <x:t xml:space="preserve">NSX GM → LM  TCP 443 (API + Mgmt Plane Sync)</x:t>
  </x:si>
  <x:si>
    <x:t xml:space="preserve">NSX Federation — API &amp; Management Plane Synchronisation GM→LM</x:t>
  </x:si>
  <x:si>
    <x:t xml:space="preserve">NSX Federation note: Federation port — GM pushes policy to LM. Required per AZ.</x:t>
  </x:si>
  <x:si>
    <x:t xml:space="preserve">NSX LM → GM  TCP 443 (reverse sync)</x:t>
  </x:si>
  <x:si>
    <x:t xml:space="preserve">NSX Federation — API &amp; Management Plane Sync LM→GM (return path)</x:t>
  </x:si>
  <x:si>
    <x:t xml:space="preserve">NSX Federation note: Bidirectional — LM must also reach GM on 443.</x:t>
  </x:si>
  <x:si>
    <x:t xml:space="preserve">NSX GM → LM  TCP 1236 (Async Replication) ⚠️ MISSING</x:t>
  </x:si>
  <x:si>
    <x:t xml:space="preserve">NSX Federation — Asynchronous Replication. Core engine pushing Global config from GM to all LMs. WITHOUT THIS FEDERATION WILL NOT SYNC.</x:t>
  </x:si>
  <x:si>
    <x:t xml:space="preserve">NSX Federation note: TCP 1236 was MISSING — added per NSX team 23/03/2026. WHITELIST IMMEDIATELY.</x:t>
  </x:si>
  <x:si>
    <x:t xml:space="preserve">NSX LM → GM  TCP 1236 (Async Replication return)</x:t>
  </x:si>
  <x:si>
    <x:t xml:space="preserve">NSX Federation — Async Replication return path LM→GM</x:t>
  </x:si>
  <x:si>
    <x:t xml:space="preserve">NSX Federation note: Bidirectional — both directions required for AR sync.</x:t>
  </x:si>
  <x:si>
    <x:t xml:space="preserve">NSX Edge → Remote Edge  TCP 179 (Inter-SR BGP)</x:t>
  </x:si>
  <x:si>
    <x:t xml:space="preserve">NSX Federation — Inter-Site BGP between Service Routers across AZs. Used for routing updates between locations.</x:t>
  </x:si>
  <x:si>
    <x:t xml:space="preserve">NSX Federation note: Inter-SR BGP — separate from Edge→ToR BGP. Cross-AZ Service Router routing.</x:t>
  </x:si>
  <x:si>
    <x:t xml:space="preserve">FED-06</x:t>
  </x:si>
  <x:si>
    <x:t xml:space="preserve">NSX Edge → Remote Edge  UDP 6081 (GENEVE cross-AZ)</x:t>
  </x:si>
  <x:si>
    <x:t xml:space="preserve">NSX Edge Node RTEP (local)</x:t>
  </x:si>
  <x:si>
    <x:t xml:space="preserve">NSX Remote Edge Node RTEP</x:t>
  </x:si>
  <x:si>
    <x:t xml:space="preserve">NSX Federation — GENEVE overlay for stretched logical segments across AZs via RTEP VLAN 2605.</x:t>
  </x:si>
  <x:si>
    <x:t xml:space="preserve">NSX Federation note: Already covered as TEP-03 but added here explicitly as Federation requirement. MTU 1700+ required.</x:t>
  </x:si>
  <x:si>
    <x:t xml:space="preserve">VAMI-05</x:t>
  </x:si>
  <x:si>
    <x:t xml:space="preserve">vCenter VAMI ↔ Fleet Mgr (5480 bidirectional)</x:t>
  </x:si>
  <x:si>
    <x:t xml:space="preserve">VAMI bidirectional — appliance management response path</x:t>
  </x:si>
  <x:si>
    <x:t xml:space="preserve">Port note: Port 5480 VAMI — bidirectional between all appliances and management components</x:t>
  </x:si>
  <x:si>
    <x:t xml:space="preserve">VAMI-06</x:t>
  </x:si>
  <x:si>
    <x:t xml:space="preserve">SDDC Manager → All Appliances VAMI (5480)</x:t>
  </x:si>
  <x:si>
    <x:t xml:space="preserve">All VCF Appliances (vCenter/NSX/VOL)</x:t>
  </x:si>
  <x:si>
    <x:t xml:space="preserve">SDDC Mgr lifecycle — primary lifecycle manager for all VCF appliances via VAMI</x:t>
  </x:si>
  <x:si>
    <x:t xml:space="preserve">Port note: Port 5480 — SDDC Mgr drives all appliance lifecycle via VAMI interface</x:t>
  </x:si>
  <x:si>
    <x:t xml:space="preserve">VAMI-07</x:t>
  </x:si>
  <x:si>
    <x:t xml:space="preserve">ESXi Hosts → vCenter VAMI (5480)</x:t>
  </x:si>
  <x:si>
    <x:t xml:space="preserve">ESXi host provisioning and management traffic to vCenter VAMI</x:t>
  </x:si>
  <x:si>
    <x:t xml:space="preserve">Port note: Port 5480 — ESXi hosts communicate with vCenter VAMI during provisioning</x:t>
  </x:si>
  <x:si>
    <x:t xml:space="preserve">SRM-03</x:t>
  </x:si>
  <x:si>
    <x:t xml:space="preserve">PSC/vCenter → SRM Listener (9086)</x:t>
  </x:si>
  <x:si>
    <x:t xml:space="preserve">PSC/vCenter (sfoMGMT-1-1-PSC1.test.net)</x:t>
  </x:si>
  <x:si>
    <x:t xml:space="preserve">SRM Listener (Local Host 192.168.188.1)</x:t>
  </x:si>
  <x:si>
    <x:t xml:space="preserve">PSC SSO/vCenter registers with SRM for site protection on port 9086</x:t>
  </x:si>
  <x:si>
    <x:t xml:space="preserve">Port note: PSC sfoMGMT-1-1-PSC1.test.net, admin=administrator@vsphere.local. Port 9086.</x:t>
  </x:si>
  <x:si>
    <x:t xml:space="preserve">SRM-04</x:t>
  </x:si>
  <x:si>
    <x:t xml:space="preserve">SRM → Remote Site vCenter (9086 outbound)</x:t>
  </x:si>
  <x:si>
    <x:t xml:space="preserve">SRM / vSphere Replication (M8)</x:t>
  </x:si>
  <x:si>
    <x:t xml:space="preserve">Remote Site vCenter / SRM</x:t>
  </x:si>
  <x:si>
    <x:t xml:space="preserve">[Remote vCenter IP]</x:t>
  </x:si>
  <x:si>
    <x:t xml:space="preserve">SRM outbound — pairs with remote site for replication coordination and failover</x:t>
  </x:si>
  <x:si>
    <x:t xml:space="preserve">Port note: Port 9086 outbound to remote site. Required for pair-site registration and DR.</x:t>
  </x:si>
  <x:si>
    <x:t xml:space="preserve">NSX GM → LM  TCP 443  (Federation API + Mgmt Plane Sync)</x:t>
  </x:si>
  <x:si>
    <x:t xml:space="preserve">NSX Federation — API &amp; Management Plane Synchronisation GM↔LM</x:t>
  </x:si>
  <x:si>
    <x:t xml:space="preserve">NSX team: Federation port. GM pushes policy to LM. Required per AZ. Bidirectional.</x:t>
  </x:si>
  <x:si>
    <x:t xml:space="preserve">NSX GM → LM  TCP 1236  ⚠️ NEWLY WHITELISTED</x:t>
  </x:si>
  <x:si>
    <x:t xml:space="preserve">NSX Federation — Async Replication. Core engine pushing Global config GM→LM. WAS MISSING.</x:t>
  </x:si>
  <x:si>
    <x:t xml:space="preserve">NSX Federation note: TCP 1236 WAS MISSING — added 23/03/2026. Whitelist immediately on Gateway Firewall.</x:t>
  </x:si>
  <x:si>
    <x:t xml:space="preserve">NSX Edge → Remote Edge  TCP 179  (Inter-SR BGP)</x:t>
  </x:si>
  <x:si>
    <x:t xml:space="preserve">NSX Edge Node (local SR)</x:t>
  </x:si>
  <x:si>
    <x:t xml:space="preserve">NSX Remote Edge Node (peer AZ)</x:t>
  </x:si>
  <x:si>
    <x:t xml:space="preserve">NSX Federation — Inter-Site BGP between Service Routers across AZs. Routing updates between locations.</x:t>
  </x:si>
  <x:si>
    <x:t xml:space="preserve">NSX Federation note: Inter-SR BGP — distinct from Edge→ToR BGP (BGP-01 to BGP-08). Cross-AZ SR routing.</x:t>
  </x:si>
  <x:si>
    <x:t xml:space="preserve">NSX Edge → Remote Edge  UDP 6081  (GENEVE cross-AZ RTEP)</x:t>
  </x:si>
  <x:si>
    <x:t xml:space="preserve">NSX Edge RTEP (local)</x:t>
  </x:si>
  <x:si>
    <x:t xml:space="preserve">NSX Remote Edge RTEP (peer AZ)</x:t>
  </x:si>
  <x:si>
    <x:t xml:space="preserve">NSX Federation — GENEVE overlay for stretched logical segments via RTEP VLAN 2605. MTU 1700+ required.</x:t>
  </x:si>
  <x:si>
    <x:t xml:space="preserve">NSX Federation note: RTEP GENEVE — also covered in TEP-03. Explicit Federation label added.</x:t>
  </x:si>
  <x:si>
    <x:t xml:space="preserve">🔷  VMware Live Recovery (VLR) Rules  —  Inbound / Reverse</x:t>
  </x:si>
  <x:si>
    <x:t xml:space="preserve">LVR-09</x:t>
  </x:si>
  <x:si>
    <x:t xml:space="preserve">vCenter → VLR (HTTPS)</x:t>
  </x:si>
  <x:si>
    <x:t xml:space="preserve">vCenter → VLR management</x:t>
  </x:si>
  <x:si>
    <x:t xml:space="preserve">CF row 151 — vCenter reverse comms to VLR for site pair + recovery</x:t>
  </x:si>
  <x:si>
    <x:t xml:space="preserve">CF row 151 — vCenter Server registration back to VLR</x:t>
  </x:si>
  <x:si>
    <x:t xml:space="preserve">LVR-10</x:t>
  </x:si>
  <x:si>
    <x:t xml:space="preserve">vCenter → VLR VAMI (5480)</x:t>
  </x:si>
  <x:si>
    <x:t xml:space="preserve">VAMI bidirectional</x:t>
  </x:si>
  <x:si>
    <x:t xml:space="preserve">CF row 119 — VAMI management interface bidirectional</x:t>
  </x:si>
  <x:si>
    <x:t xml:space="preserve">LVR-11</x:t>
  </x:si>
  <x:si>
    <x:t xml:space="preserve">ESXi → VLR Heartbeat (902)</x:t>
  </x:si>
  <x:si>
    <x:t xml:space="preserve">Heartbeat reverse</x:t>
  </x:si>
  <x:si>
    <x:t xml:space="preserve">CF row 165 — ESXi VMkernel heartbeat reverse to VLR</x:t>
  </x:si>
  <x:si>
    <x:t xml:space="preserve">CF row 175 — vSphere Replication VMkernel reverse traffic</x:t>
  </x:si>
  <x:si>
    <x:t xml:space="preserve">LVR-12</x:t>
  </x:si>
  <x:si>
    <x:t xml:space="preserve">ESXi → VLR NFC (8043)</x:t>
  </x:si>
  <x:si>
    <x:t xml:space="preserve">vSphere Replication NFC reverse</x:t>
  </x:si>
  <x:si>
    <x:t xml:space="preserve">AES-220  |  Firewall Rules  |  Fleet → External Services</x:t>
  </x:si>
  <x:si>
    <x:t xml:space="preserve">Source IP and Destination IP auto-populate from '📋 IP Input Sheet'.  Fill in IPs there first.</x:t>
  </x:si>
  <x:si>
    <x:t xml:space="preserve">EX-01</x:t>
  </x:si>
  <x:si>
    <x:t xml:space="preserve">EX-02</x:t>
  </x:si>
  <x:si>
    <x:t xml:space="preserve">EX-03</x:t>
  </x:si>
  <x:si>
    <x:t xml:space="preserve">VCFO → DNS</x:t>
  </x:si>
  <x:si>
    <x:t xml:space="preserve">DNS</x:t>
  </x:si>
  <x:si>
    <x:t xml:space="preserve">Primary/Replica/Data nodes</x:t>
  </x:si>
  <x:si>
    <x:t xml:space="preserve">EX-04</x:t>
  </x:si>
  <x:si>
    <x:t xml:space="preserve">VCFO → NTP</x:t>
  </x:si>
  <x:si>
    <x:t xml:space="preserve">EX-05</x:t>
  </x:si>
  <x:si>
    <x:t xml:space="preserve">VCFO → LDAP</x:t>
  </x:si>
  <x:si>
    <x:t xml:space="preserve">EX-06</x:t>
  </x:si>
  <x:si>
    <x:t xml:space="preserve">VCFO → LDAPS</x:t>
  </x:si>
  <x:si>
    <x:t xml:space="preserve">Secure LDAP</x:t>
  </x:si>
  <x:si>
    <x:t xml:space="preserve">EX-07</x:t>
  </x:si>
  <x:si>
    <x:t xml:space="preserve">VCFO → Global Catalog</x:t>
  </x:si>
  <x:si>
    <x:t xml:space="preserve">Global Catalog</x:t>
  </x:si>
  <x:si>
    <x:t xml:space="preserve">EX-08</x:t>
  </x:si>
  <x:si>
    <x:t xml:space="preserve">VCFO → SFTP</x:t>
  </x:si>
  <x:si>
    <x:t xml:space="preserve">EX-09</x:t>
  </x:si>
  <x:si>
    <x:t xml:space="preserve">VIDB → LDAP</x:t>
  </x:si>
  <x:si>
    <x:t xml:space="preserve">Directory lookups</x:t>
  </x:si>
  <x:si>
    <x:t xml:space="preserve">Identity Broker→AD</x:t>
  </x:si>
  <x:si>
    <x:t xml:space="preserve">EX-10</x:t>
  </x:si>
  <x:si>
    <x:t xml:space="preserve">VIDB → Secure LDAP</x:t>
  </x:si>
  <x:si>
    <x:t xml:space="preserve">EX-11</x:t>
  </x:si>
  <x:si>
    <x:t xml:space="preserve">VIDB → IdP Federation</x:t>
  </x:si>
  <x:si>
    <x:t xml:space="preserve">IdP Federation Endpoint</x:t>
  </x:si>
  <x:si>
    <x:t xml:space="preserve">[IdP Federation IP]</x:t>
  </x:si>
  <x:si>
    <x:t xml:space="preserve">SAML/OIDC/Okta/Ping/Entra ID</x:t>
  </x:si>
  <x:si>
    <x:t xml:space="preserve">External IdP — confirm IP with AMEX security team</x:t>
  </x:si>
  <x:si>
    <x:t xml:space="preserve">EX-12</x:t>
  </x:si>
  <x:si>
    <x:t xml:space="preserve">VIDB → DNS</x:t>
  </x:si>
  <x:si>
    <x:t xml:space="preserve">FQDN resolution for vCenter/NSX/SDDC</x:t>
  </x:si>
  <x:si>
    <x:t xml:space="preserve">EX-13</x:t>
  </x:si>
  <x:si>
    <x:t xml:space="preserve">VIDB → NTP</x:t>
  </x:si>
  <x:si>
    <x:t xml:space="preserve">EX-14</x:t>
  </x:si>
  <x:si>
    <x:t xml:space="preserve">VIDB → SFTP</x:t>
  </x:si>
  <x:si>
    <x:t xml:space="preserve">EX-15</x:t>
  </x:si>
  <x:si>
    <x:t xml:space="preserve">VIDB → CA Server</x:t>
  </x:si>
  <x:si>
    <x:t xml:space="preserve">SSL certificate  CA</x:t>
  </x:si>
  <x:si>
    <x:t xml:space="preserve">EX-16</x:t>
  </x:si>
  <x:si>
    <x:t xml:space="preserve">ICMP — Fleet→External</x:t>
  </x:si>
  <x:si>
    <x:t xml:space="preserve">[Fleet IPs]</x:t>
  </x:si>
  <x:si>
    <x:t xml:space="preserve">External Services</x:t>
  </x:si>
  <x:si>
    <x:t xml:space="preserve">[External IP]</x:t>
  </x:si>
  <x:si>
    <x:t xml:space="preserve">Reachability ping/traceroute</x:t>
  </x:si>
  <x:si>
    <x:t xml:space="preserve">ALL Fleet-level components</x:t>
  </x:si>
  <x:si>
    <x:t xml:space="preserve">AES-220  |  Route Table  |  Fleet ↔ Management Domain ↔ WLD ESXi</x:t>
  </x:si>
  <x:si>
    <x:t xml:space="preserve">Destination subnets auto-populated from ' IP Input Sheet'.  Next-hop populated once IPs are entered.</x:t>
  </x:si>
  <x:si>
    <x:t xml:space="preserve">Destination Network</x:t>
  </x:si>
  <x:si>
    <x:t xml:space="preserve">Subnet / IP</x:t>
  </x:si>
  <x:si>
    <x:t xml:space="preserve">Next Hop</x:t>
  </x:si>
  <x:si>
    <x:t xml:space="preserve">Via Interface</x:t>
  </x:si>
  <x:si>
    <x:t xml:space="preserve">Route Type</x:t>
  </x:si>
  <x:si>
    <x:t xml:space="preserve">AZ Scope</x:t>
  </x:si>
  <x:si>
    <x:t xml:space="preserve">RT-01</x:t>
  </x:si>
  <x:si>
    <x:t xml:space="preserve">Fleet Overlay Segment</x:t>
  </x:si>
  <x:si>
    <x:t xml:space="preserve">T0 Gateway (per AZ)</x:t>
  </x:si>
  <x:si>
    <x:t xml:space="preserve">NSX Overlay</x:t>
  </x:si>
  <x:si>
    <x:t xml:space="preserve">Static/NSX</x:t>
  </x:si>
  <x:si>
    <x:t xml:space="preserve">AZ1/2/3</x:t>
  </x:si>
  <x:si>
    <x:t xml:space="preserve">NSX overlay  depends on Edge/T0 health</x:t>
  </x:si>
  <x:si>
    <x:t xml:space="preserve">RT-02</x:t>
  </x:si>
  <x:si>
    <x:t xml:space="preserve">Fleet segment overlay routed</x:t>
  </x:si>
  <x:si>
    <x:t xml:space="preserve">RT-03</x:t>
  </x:si>
  <x:si>
    <x:t xml:space="preserve">VCF Operations</x:t>
  </x:si>
  <x:si>
    <x:t xml:space="preserve">Fleet segment</x:t>
  </x:si>
  <x:si>
    <x:t xml:space="preserve">RT-04</x:t>
  </x:si>
  <x:si>
    <x:t xml:space="preserve">RT-05</x:t>
  </x:si>
  <x:si>
    <x:t xml:space="preserve">VCF Ops for Logs (VOL)</x:t>
  </x:si>
  <x:si>
    <x:t xml:space="preserve">RT-06</x:t>
  </x:si>
  <x:si>
    <x:t xml:space="preserve">RT-07</x:t>
  </x:si>
  <x:si>
    <x:t xml:space="preserve">Identity Broker</x:t>
  </x:si>
  <x:si>
    <x:t xml:space="preserve">Fleet segment  SSO critical path</x:t>
  </x:si>
  <x:si>
    <x:t xml:space="preserve">RT-08</x:t>
  </x:si>
  <x:si>
    <x:t xml:space="preserve">VM Management (VLAN 2600)</x:t>
  </x:si>
  <x:si>
    <x:t xml:space="preserve">ToR Switch (per AZ)</x:t>
  </x:si>
  <x:si>
    <x:t xml:space="preserve">VLAN 2600</x:t>
  </x:si>
  <x:si>
    <x:t xml:space="preserve">VLAN/Static</x:t>
  </x:si>
  <x:si>
    <x:t xml:space="preserve">vCenter/NSX Mgr/SDDC Mgr</x:t>
  </x:si>
  <x:si>
    <x:t xml:space="preserve">VLAN-backed direct physical, no NSX dependency</x:t>
  </x:si>
  <x:si>
    <x:t xml:space="preserve">RT-09</x:t>
  </x:si>
  <x:si>
    <x:t xml:space="preserve">Static</x:t>
  </x:si>
  <x:si>
    <x:t xml:space="preserve">RT-10</x:t>
  </x:si>
  <x:si>
    <x:t xml:space="preserve">RT-11</x:t>
  </x:si>
  <x:si>
    <x:t xml:space="preserve">RT-12</x:t>
  </x:si>
  <x:si>
    <x:t xml:space="preserve">ESXi Mgmt — WLD</x:t>
  </x:si>
  <x:si>
    <x:t xml:space="preserve">vDSW01 VM Mgmt PG</x:t>
  </x:si>
  <x:si>
    <x:t xml:space="preserve">ESXi Hosts WLD</x:t>
  </x:si>
  <x:si>
    <x:t xml:space="preserve">WLD cluster hosts</x:t>
  </x:si>
  <x:si>
    <x:t xml:space="preserve">RT-13</x:t>
  </x:si>
  <x:si>
    <x:t xml:space="preserve">ESXi Mgmt — Mgmt Domain</x:t>
  </x:si>
  <x:si>
    <x:t xml:space="preserve">vDSM01 VM Mgmt PG</x:t>
  </x:si>
  <x:si>
    <x:t xml:space="preserve">ESXi Hosts Mgmt</x:t>
  </x:si>
  <x:si>
    <x:t xml:space="preserve">Mgmt domain cluster hosts</x:t>
  </x:si>
  <x:si>
    <x:t xml:space="preserve">RT-14</x:t>
  </x:si>
  <x:si>
    <x:t xml:space="preserve">NSX Edge / Uplink</x:t>
  </x:si>
  <x:si>
    <x:t xml:space="preserve">BGP Advertised</x:t>
  </x:si>
  <x:si>
    <x:t xml:space="preserve">Avi VIPs / WLD external</x:t>
  </x:si>
  <x:si>
    <x:t xml:space="preserve">VIP subnet BGP advertised via Edge to ToR</x:t>
  </x:si>
  <x:si>
    <x:t xml:space="preserve">RT-15</x:t>
  </x:si>
  <x:si>
    <x:t xml:space="preserve">Edge Node → ToR</x:t>
  </x:si>
  <x:si>
    <x:t xml:space="preserve">Uplink VLAN</x:t>
  </x:si>
  <x:si>
    <x:t xml:space="preserve">All components</x:t>
  </x:si>
  <x:si>
    <x:t xml:space="preserve">DC-wide</x:t>
  </x:si>
  <x:si>
    <x:t xml:space="preserve">Outbound via Edge N-S path</x:t>
  </x:si>
  <x:si>
    <x:t xml:space="preserve">RT-16</x:t>
  </x:si>
  <x:si>
    <x:t xml:space="preserve">RT-17</x:t>
  </x:si>
  <x:si>
    <x:t xml:space="preserve">Fleet+Mgmt components</x:t>
  </x:si>
  <x:si>
    <x:t xml:space="preserve">RT-18</x:t>
  </x:si>
  <x:si>
    <x:t xml:space="preserve">RT-19</x:t>
  </x:si>
  <x:si>
    <x:t xml:space="preserve">SDDC Mgr / VCF Ops</x:t>
  </x:si>
  <x:si>
    <x:t xml:space="preserve">RT-20</x:t>
  </x:si>
  <x:si>
    <x:t xml:space="preserve">Host TEP Subnet</x:t>
  </x:si>
  <x:si>
    <x:t xml:space="preserve">[VLAN TBD]</x:t>
  </x:si>
  <x:si>
    <x:t xml:space="preserve">Physical Fabric</x:t>
  </x:si>
  <x:si>
    <x:t xml:space="preserve">Host TEP VLAN</x:t>
  </x:si>
  <x:si>
    <x:t xml:space="preserve">VLAN</x:t>
  </x:si>
  <x:si>
    <x:t xml:space="preserve">NSX Host TEP</x:t>
  </x:si>
  <x:si>
    <x:t xml:space="preserve">Per AZ</x:t>
  </x:si>
  <x:si>
    <x:t xml:space="preserve">GENEVE encap  MTU must be 1600+</x:t>
  </x:si>
  <x:si>
    <x:t xml:space="preserve">RT-21</x:t>
  </x:si>
  <x:si>
    <x:t xml:space="preserve">Edge TEP Subnet</x:t>
  </x:si>
  <x:si>
    <x:t xml:space="preserve">VLAN 2603</x:t>
  </x:si>
  <x:si>
    <x:t xml:space="preserve">Edge TEP VLAN</x:t>
  </x:si>
  <x:si>
    <x:t xml:space="preserve">Edge nodes GENEVE tunnels</x:t>
  </x:si>
  <x:si>
    <x:t xml:space="preserve">RT-22</x:t>
  </x:si>
  <x:si>
    <x:t xml:space="preserve">Remote TEP Subnet</x:t>
  </x:si>
  <x:si>
    <x:t xml:space="preserve">VLAN 2605</x:t>
  </x:si>
  <x:si>
    <x:t xml:space="preserve">Super Spine</x:t>
  </x:si>
  <x:si>
    <x:t xml:space="preserve">RTEP VLAN</x:t>
  </x:si>
  <x:si>
    <x:t xml:space="preserve">Cross-AZ tunnels</x:t>
  </x:si>
  <x:si>
    <x:t xml:space="preserve">Cross-AZ NSX overlay RTEP</x:t>
  </x:si>
  <x:si>
    <x:t xml:space="preserve">RT-23</x:t>
  </x:si>
  <x:si>
    <x:t xml:space="preserve">[Physical]</x:t>
  </x:si>
  <x:si>
    <x:t xml:space="preserve">Physical Routing</x:t>
  </x:si>
  <x:si>
    <x:t xml:space="preserve">Uplink 2606/2607/2608/2609</x:t>
  </x:si>
  <x:si>
    <x:t xml:space="preserve">BGP</x:t>
  </x:si>
  <x:si>
    <x:t xml:space="preserve">All AZs</x:t>
  </x:si>
  <x:si>
    <x:t xml:space="preserve">BGP between Edge nodes and ToR switches</x:t>
  </x:si>
  <x:si>
    <x:t xml:space="preserve">VCF OPS Network Collector</x:t>
  </x:si>
  <x:si>
    <x:t xml:space="preserve">AZ1/AZ2</x:t>
  </x:si>
  <x:si>
    <x:t xml:space="preserve">M7 — Mgmt domain VLAN</x:t>
  </x:si>
  <x:si>
    <x:t xml:space="preserve">NSX Edge Uplink — Rack1 VLAN 2606</x:t>
  </x:si>
  <x:si>
    <x:t xml:space="preserve">ToR Rack1</x:t>
  </x:si>
  <x:si>
    <x:t xml:space="preserve">VLAN 2606 Uplink</x:t>
  </x:si>
  <x:si>
    <x:t xml:space="preserve">BGP Peer</x:t>
  </x:si>
  <x:si>
    <x:t xml:space="preserve">NSX Edge Node 1</x:t>
  </x:si>
  <x:si>
    <x:t xml:space="preserve">Edge→ToR BGP peering — same /30 subnet</x:t>
  </x:si>
  <x:si>
    <x:t xml:space="preserve">NSX Edge Uplink — Rack1 VLAN 2607</x:t>
  </x:si>
  <x:si>
    <x:t xml:space="preserve">VLAN 2607 Uplink</x:t>
  </x:si>
  <x:si>
    <x:t xml:space="preserve">NSX Edge Node 2</x:t>
  </x:si>
  <x:si>
    <x:t xml:space="preserve">NSX Edge Uplink — Rack2 VLAN 2608</x:t>
  </x:si>
  <x:si>
    <x:t xml:space="preserve">ToR Rack2</x:t>
  </x:si>
  <x:si>
    <x:t xml:space="preserve">VLAN 2608 Uplink</x:t>
  </x:si>
  <x:si>
    <x:t xml:space="preserve">Edge→ToR BGP peering</x:t>
  </x:si>
  <x:si>
    <x:t xml:space="preserve">NSX Edge Uplink — Rack2 VLAN 2609</x:t>
  </x:si>
  <x:si>
    <x:t xml:space="preserve">VLAN 2609 Uplink</x:t>
  </x:si>
  <x:si>
    <x:t xml:space="preserve">Edge TEP Subnet (VLAN 2603)</x:t>
  </x:si>
  <x:si>
    <x:t xml:space="preserve">Edge TEP VLAN 2603</x:t>
  </x:si>
  <x:si>
    <x:t xml:space="preserve">Intra-AZ HA + GENEVE — MTU 1600+</x:t>
  </x:si>
  <x:si>
    <x:t xml:space="preserve">Remote TEP — Cross-AZ (VLAN 2605)</x:t>
  </x:si>
  <x:si>
    <x:t xml:space="preserve">RTEP VLAN 2605</x:t>
  </x:si>
  <x:si>
    <x:t xml:space="preserve">Cross-AZ NSX Overlay</x:t>
  </x:si>
  <x:si>
    <x:t xml:space="preserve">AZ1↔AZ2↔AZ3 GENEVE tunnels</x:t>
  </x:si>
  <x:si>
    <x:t xml:space="preserve">ToR BGP Peer IPs</x:t>
  </x:si>
  <x:si>
    <x:t xml:space="preserve">Physical ToR Switch</x:t>
  </x:si>
  <x:si>
    <x:t xml:space="preserve">Uplink SVIs</x:t>
  </x:si>
  <x:si>
    <x:t xml:space="preserve">ToR Switch (Network Team)</x:t>
  </x:si>
  <x:si>
    <x:t xml:space="preserve">Get from network team — not Raju</x:t>
  </x:si>
  <x:si>
    <x:t xml:space="preserve">RT-E1-EU1</x:t>
  </x:si>
  <x:si>
    <x:t xml:space="preserve">Edge 1 EU1 (VLAN 2606 Rack 1)</x:t>
  </x:si>
  <x:si>
    <x:t xml:space="preserve">ToR Rack 1 (EU11)</x:t>
  </x:si>
  <x:si>
    <x:t xml:space="preserve">VLAN 2606 SVI</x:t>
  </x:si>
  <x:si>
    <x:t xml:space="preserve">NSX Edge 1</x:t>
  </x:si>
  <x:si>
    <x:t xml:space="preserve">EU1↔EU11</x:t>
  </x:si>
  <x:si>
    <x:t xml:space="preserve">RT-E1-EU2</x:t>
  </x:si>
  <x:si>
    <x:t xml:space="preserve">Edge 1 EU2 (VLAN 2607 Rack 1)</x:t>
  </x:si>
  <x:si>
    <x:t xml:space="preserve">ToR Rack 1 (EU12)</x:t>
  </x:si>
  <x:si>
    <x:t xml:space="preserve">VLAN 2607 SVI</x:t>
  </x:si>
  <x:si>
    <x:t xml:space="preserve">EU2↔EU12</x:t>
  </x:si>
  <x:si>
    <x:t xml:space="preserve">RT-E2-EU3</x:t>
  </x:si>
  <x:si>
    <x:t xml:space="preserve">Edge 2 EU3 (VLAN 2606 Rack 1)</x:t>
  </x:si>
  <x:si>
    <x:t xml:space="preserve">NSX Edge 2</x:t>
  </x:si>
  <x:si>
    <x:t xml:space="preserve">EU3↔EU11</x:t>
  </x:si>
  <x:si>
    <x:t xml:space="preserve">RT-E2-EU4</x:t>
  </x:si>
  <x:si>
    <x:t xml:space="preserve">Edge 2 EU4 (VLAN 2607 Rack 1)</x:t>
  </x:si>
  <x:si>
    <x:t xml:space="preserve">EU4↔EU12</x:t>
  </x:si>
  <x:si>
    <x:t xml:space="preserve">RT-E3-EU5</x:t>
  </x:si>
  <x:si>
    <x:t xml:space="preserve">Edge 3 EU5 (VLAN 2608 Rack 2)</x:t>
  </x:si>
  <x:si>
    <x:t xml:space="preserve">ToR Rack 2 (EU13)</x:t>
  </x:si>
  <x:si>
    <x:t xml:space="preserve">VLAN 2608 SVI</x:t>
  </x:si>
  <x:si>
    <x:t xml:space="preserve">NSX Edge 3</x:t>
  </x:si>
  <x:si>
    <x:t xml:space="preserve">EU5↔EU13</x:t>
  </x:si>
  <x:si>
    <x:t xml:space="preserve">RT-E3-EU6</x:t>
  </x:si>
  <x:si>
    <x:t xml:space="preserve">Edge 3 EU6 (VLAN 2609 Rack 2)</x:t>
  </x:si>
  <x:si>
    <x:t xml:space="preserve">ToR Rack 2 (EU14)</x:t>
  </x:si>
  <x:si>
    <x:t xml:space="preserve">VLAN 2609 SVI</x:t>
  </x:si>
  <x:si>
    <x:t xml:space="preserve">EU6↔EU14</x:t>
  </x:si>
  <x:si>
    <x:t xml:space="preserve">RT-E4-EU7</x:t>
  </x:si>
  <x:si>
    <x:t xml:space="preserve">Edge 4 EU7 (VLAN 2608 Rack 2)</x:t>
  </x:si>
  <x:si>
    <x:t xml:space="preserve">NSX Edge 4</x:t>
  </x:si>
  <x:si>
    <x:t xml:space="preserve">EU7↔EU13</x:t>
  </x:si>
  <x:si>
    <x:t xml:space="preserve">RT-E4-EU8</x:t>
  </x:si>
  <x:si>
    <x:t xml:space="preserve">Edge 4 EU8 (VLAN 2609 Rack 2)</x:t>
  </x:si>
  <x:si>
    <x:t xml:space="preserve">EU8↔EU14</x:t>
  </x:si>
  <x:si>
    <x:t xml:space="preserve">RT-TEP</x:t>
  </x:si>
  <x:si>
    <x:t xml:space="preserve">EU9 — GENEVE intra-AZ MTU 1600+</x:t>
  </x:si>
  <x:si>
    <x:t xml:space="preserve">RT-RTEP</x:t>
  </x:si>
  <x:si>
    <x:t xml:space="preserve">Remote TEP Subnet (VLAN 2605)</x:t>
  </x:si>
  <x:si>
    <x:t xml:space="preserve">Cross-AZ Overlay</x:t>
  </x:si>
  <x:si>
    <x:t xml:space="preserve">EU10 — AZ1↔AZ2↔AZ3</x:t>
  </x:si>
  <x:si>
    <x:t xml:space="preserve">AES-220  |  Unique Port Reference  |  All Fleet Firewall Ports Consolidated</x:t>
  </x:si>
  <x:si>
    <x:t xml:space="preserve">Service</x:t>
  </x:si>
  <x:si>
    <x:t xml:space="preserve">Used By (Source)</x:t>
  </x:si>
  <x:si>
    <x:t xml:space="preserve">Used By (Destination)</x:t>
  </x:si>
  <x:si>
    <x:t xml:space="preserve">VCF Installer, SDDC Mgr, Fleet Mgr, VCFA, VCFO</x:t>
  </x:si>
  <x:si>
    <x:t xml:space="preserve">ESXi, SDDC Mgr, Fleet VMs, SFTP</x:t>
  </x:si>
  <x:si>
    <x:t xml:space="preserve">Admin only restrict to jump host / bastion</x:t>
  </x:si>
  <x:si>
    <x:t xml:space="preserve">50</x:t>
  </x:si>
  <x:si>
    <x:t xml:space="preserve">ESP</x:t>
  </x:si>
  <x:si>
    <x:t xml:space="preserve">Encapsulating Security Payload</x:t>
  </x:si>
  <x:si>
    <x:t xml:space="preserve">ALL</x:t>
  </x:si>
  <x:si>
    <x:t xml:space="preserve">Used by k8s to encapsulate hidden networks — bidirectional</x:t>
  </x:si>
  <x:si>
    <x:t xml:space="preserve">All Fleet + VCF Components</x:t>
  </x:si>
  <x:si>
    <x:t xml:space="preserve">DNS Servers</x:t>
  </x:si>
  <x:si>
    <x:t xml:space="preserve">Bidirectional  ALL Fleet-level and VCF instance-level</x:t>
  </x:si>
  <x:si>
    <x:t xml:space="preserve">NTP</x:t>
  </x:si>
  <x:si>
    <x:t xml:space="preserve">NTP Servers</x:t>
  </x:si>
  <x:si>
    <x:t xml:space="preserve">Time sync  ALL VCF 9 components</x:t>
  </x:si>
  <x:si>
    <x:t xml:space="preserve">SNMP</x:t>
  </x:si>
  <x:si>
    <x:t xml:space="preserve">Switches/Routers</x:t>
  </x:si>
  <x:si>
    <x:t xml:space="preserve">SNMP polling physical devices</x:t>
  </x:si>
  <x:si>
    <x:t xml:space="preserve">LDAP</x:t>
  </x:si>
  <x:si>
    <x:t xml:space="preserve">VCF Ops, Identity Broker, vCenter</x:t>
  </x:si>
  <x:si>
    <x:t xml:space="preserve">AD/LDAP Servers</x:t>
  </x:si>
  <x:si>
    <x:t xml:space="preserve">Directory lookups Active Directory integration</x:t>
  </x:si>
  <x:si>
    <x:t xml:space="preserve">HTTPS</x:t>
  </x:si>
  <x:si>
    <x:t xml:space="preserve">All Fleet + Mgmt Components</x:t>
  </x:si>
  <x:si>
    <x:t xml:space="preserve">Primary management port — all component comms incl. VLR SSO registration + site pair</x:t>
  </x:si>
  <x:si>
    <x:t xml:space="preserve">Syslog</x:t>
  </x:si>
  <x:si>
    <x:t xml:space="preserve">vCenter, NSX, SDDC, ESXi, VCFA</x:t>
  </x:si>
  <x:si>
    <x:t xml:space="preserve">Remote syslog  all components log to VOL</x:t>
  </x:si>
  <x:si>
    <x:t xml:space="preserve">LDAPS</x:t>
  </x:si>
  <x:si>
    <x:t xml:space="preserve">vCenter, VCF Automation, VMware Live Recovery (VLR)</x:t>
  </x:si>
  <x:si>
    <x:t xml:space="preserve">ESXi Hosts</x:t>
  </x:si>
  <x:si>
    <x:t xml:space="preserve">Core mgmt comms vCenter↔ESXi + VM console + VLR VMkernel heartbeat</x:t>
  </x:si>
  <x:si>
    <x:t xml:space="preserve">vCenter, NSX, ESXi, VCFA</x:t>
  </x:si>
  <x:si>
    <x:t xml:space="preserve">IPFIX (deprecated)</x:t>
  </x:si>
  <x:si>
    <x:t xml:space="preserve">vCenter, VON</x:t>
  </x:si>
  <x:si>
    <x:t xml:space="preserve">vDS/NSX</x:t>
  </x:si>
  <x:si>
    <x:t xml:space="preserve">Deprecated use port 4739 instead</x:t>
  </x:si>
  <x:si>
    <x:t xml:space="preserve">AD Global Catalog lookup</x:t>
  </x:si>
  <x:si>
    <x:t xml:space="preserve">IPFIX + NETFLOW</x:t>
  </x:si>
  <x:si>
    <x:t xml:space="preserve">ESXi, VON</x:t>
  </x:si>
  <x:si>
    <x:t xml:space="preserve">VON, NSX</x:t>
  </x:si>
  <x:si>
    <x:t xml:space="preserve">Flow analysis replace 2055</x:t>
  </x:si>
  <x:si>
    <x:t xml:space="preserve">Kubernetes API</x:t>
  </x:si>
  <x:si>
    <x:t xml:space="preserve">Fleet Mgr, VCF Automation</x:t>
  </x:si>
  <x:si>
    <x:t xml:space="preserve">Identity Broker, VCFA</x:t>
  </x:si>
  <x:si>
    <x:t xml:space="preserve">Kubernetes control plane API server</x:t>
  </x:si>
  <x:si>
    <x:t xml:space="preserve">Syslog over SSL</x:t>
  </x:si>
  <x:si>
    <x:t xml:space="preserve">NSX Manager, VCFA</x:t>
  </x:si>
  <x:si>
    <x:t xml:space="preserve">VCF Ops for Logs</x:t>
  </x:si>
  <x:si>
    <x:t xml:space="preserve">Syslog SSL</x:t>
  </x:si>
  <x:si>
    <x:t xml:space="preserve">Health Check</x:t>
  </x:si>
  <x:si>
    <x:t xml:space="preserve">VCFA health monitoring</x:t>
  </x:si>
  <x:si>
    <x:t xml:space="preserve">VCF Installer, SDDC Mgr</x:t>
  </x:si>
  <x:si>
    <x:t xml:space="preserve">SDDC Manager, VCFO</x:t>
  </x:si>
  <x:si>
    <x:t xml:space="preserve">Internal service comms bringup</x:t>
  </x:si>
  <x:si>
    <x:t xml:space="preserve">Log Ingestion API</x:t>
  </x:si>
  <x:si>
    <x:t xml:space="preserve">SDDC Mgr, VCFA</x:t>
  </x:si>
  <x:si>
    <x:t xml:space="preserve">CFAPI — unencrypted; prefer 9543</x:t>
  </x:si>
  <x:si>
    <x:t xml:space="preserve">9443</x:t>
  </x:si>
  <x:si>
    <x:t xml:space="preserve">Lifecycle Mgmt</x:t>
  </x:si>
  <x:si>
    <x:t xml:space="preserve">VCF Installer</x:t>
  </x:si>
  <x:si>
    <x:t xml:space="preserve">vSphere webclient + LCM bringup</x:t>
  </x:si>
  <x:si>
    <x:t xml:space="preserve">Secure Log Ingestion</x:t>
  </x:si>
  <x:si>
    <x:t xml:space="preserve">CFAPI over SSL — preferred over 9000</x:t>
  </x:si>
  <x:si>
    <x:t xml:space="preserve">vCenter Inventory</x:t>
  </x:si>
  <x:si>
    <x:t xml:space="preserve">Inventory service</x:t>
  </x:si>
  <x:si>
    <x:t xml:space="preserve">Container Images</x:t>
  </x:si>
  <x:si>
    <x:t xml:space="preserve">Fleet Mgr</x:t>
  </x:si>
  <x:si>
    <x:t xml:space="preserve">VCFA + VIDB</x:t>
  </x:si>
  <x:si>
    <x:t xml:space="preserve">k8s/VKS OCI registry</x:t>
  </x:si>
  <x:si>
    <x:t xml:space="preserve">VCFA/VIDB API</x:t>
  </x:si>
  <x:si>
    <x:t xml:space="preserve">Webhooks  day2 ops triggers</x:t>
  </x:si>
  <x:si>
    <x:t xml:space="preserve">Health Validation</x:t>
  </x:si>
  <x:si>
    <x:t xml:space="preserve">Pre-LCM health check</x:t>
  </x:si>
  <x:si>
    <x:t xml:space="preserve">Ping/Traceroute</x:t>
  </x:si>
  <x:si>
    <x:t xml:space="preserve">ALL Fleet + Mgmt Components</x:t>
  </x:si>
  <x:si>
    <x:t xml:space="preserve">MANDATORY  ALL fleet-level &amp; VCF instance-level components</x:t>
  </x:si>
  <x:si>
    <x:t xml:space="preserve">NSX Edge Nodes</x:t>
  </x:si>
  <x:si>
    <x:t xml:space="preserve">ToR Switches (BGP Peers)</x:t>
  </x:si>
  <x:si>
    <x:t xml:space="preserve">Edge→ToR BGP peering — must be allowed at Gateway FW</x:t>
  </x:si>
  <x:si>
    <x:t xml:space="preserve">3784/3785</x:t>
  </x:si>
  <x:si>
    <x:t xml:space="preserve">BFD</x:t>
  </x:si>
  <x:si>
    <x:t xml:space="preserve">ToR Switches</x:t>
  </x:si>
  <x:si>
    <x:t xml:space="preserve">Bidirectional Forwarding Detection — fast BGP failover</x:t>
  </x:si>
  <x:si>
    <x:t xml:space="preserve">4789</x:t>
  </x:si>
  <x:si>
    <x:t xml:space="preserve">GENEVE/VXLAN TEP</x:t>
  </x:si>
  <x:si>
    <x:t xml:space="preserve">Overlay encapsulation — MTU 1600+ required</x:t>
  </x:si>
  <x:si>
    <x:t xml:space="preserve">NSX Edge Uplinks (EU1–EU8)</x:t>
  </x:si>
  <x:si>
    <x:t xml:space="preserve">ToR BGP Peer (EU11)</x:t>
  </x:si>
  <x:si>
    <x:t xml:space="preserve">Edge→ToR BGP peering — bidirectional, must be allowed on Gateway FW</x:t>
  </x:si>
  <x:si>
    <x:t xml:space="preserve">GENEVE Overlay</x:t>
  </x:si>
  <x:si>
    <x:t xml:space="preserve">Edge TEP (EU9) / Remote TEP (EU10)</x:t>
  </x:si>
  <x:si>
    <x:t xml:space="preserve">Host TEP / Peer Edge TEP</x:t>
  </x:si>
  <x:si>
    <x:t xml:space="preserve">NSX overlay encapsulation — MTU 1600+ required</x:t>
  </x:si>
  <x:si>
    <x:t xml:space="preserve">NSX Edge Uplinks</x:t>
  </x:si>
  <x:si>
    <x:t xml:space="preserve">ToR BGP Peer</x:t>
  </x:si>
  <x:si>
    <x:t xml:space="preserve">NSX Federation Async Replication</x:t>
  </x:si>
  <x:si>
    <x:t xml:space="preserve">⚠️ NEW — NSX team req. Core Federation engine — TCP 1236 MUST be whitelisted GM↔LM. Without this Global policy never reaches Local Managers.</x:t>
  </x:si>
  <x:si>
    <x:t xml:space="preserve">443 (Federation)</x:t>
  </x:si>
  <x:si>
    <x:t xml:space="preserve">NSX Federation API Sync</x:t>
  </x:si>
  <x:si>
    <x:t xml:space="preserve">Federation-specific 443 — in addition to existing component 443 rules. GM↔LM management plane sync.</x:t>
  </x:si>
  <x:si>
    <x:t xml:space="preserve">179 (Inter-SR)</x:t>
  </x:si>
  <x:si>
    <x:t xml:space="preserve">Inter-Site BGP — Service Router</x:t>
  </x:si>
  <x:si>
    <x:t xml:space="preserve">T0 SR Active Edge (per AZ)</x:t>
  </x:si>
  <x:si>
    <x:t xml:space="preserve">T0 SR Remote Edge (peer AZ)</x:t>
  </x:si>
  <x:si>
    <x:t xml:space="preserve">Inter-SR BGP distinct from Edge→ToR BGP. Required for T0 routing updates between AZs in NSX Federation.</x:t>
  </x:si>
  <x:si>
    <x:t xml:space="preserve">BFD — Multi-hop BFD (RFC 5883)</x:t>
  </x:si>
  <x:si>
    <x:t xml:space="preserve">NSX Edge Nodes (inter-site)</x:t>
  </x:si>
  <x:si>
    <x:t xml:space="preserve">Remote NSX Edge Nodes / Service Routers</x:t>
  </x:si>
  <x:si>
    <x:t xml:space="preserve">⚠️ NEWLY ADDED per network team requirements. BFD multi-hop for cross-AZ SR link detection. Required alongside UDP 3784/3785. All three BFD ports must be open.</x:t>
  </x:si>
  <x:si>
    <x:t xml:space="preserve">VAMI — Virtual Appliance Management Interface</x:t>
  </x:si>
  <x:si>
    <x:t xml:space="preserve">Fleet Mgr, VCFA, SDDC Mgr, ESXi, vCenter</x:t>
  </x:si>
  <x:si>
    <x:t xml:space="preserve">ALL VCF Appliances (vCenter, NSX Mgr, SDDC Mgr, VOL, VCFA, Fleet Mgr, vlsr1)</x:t>
  </x:si>
  <x:si>
    <x:t xml:space="preserve">⚠️ NEWLY ADDED per network team. VAMI is the mgmt interface for all VCF virtual appliances. vlsr1 VAMI IP: 192.168.188.1. Bidirectional.</x:t>
  </x:si>
  <x:si>
    <x:t xml:space="preserve">SRM — Site Recovery Manager Listener</x:t>
  </x:si>
  <x:si>
    <x:t xml:space="preserve">vSphere Replication (M8), PSC/vCenter, Remote Site</x:t>
  </x:si>
  <x:si>
    <x:t xml:space="preserve">SRM Listener — sfoMGMT-1-1-VC1.test.net (local host 192.168.188.1)</x:t>
  </x:si>
  <x:si>
    <x:t xml:space="preserve">⚠️ NEWLY ADDED per network team. SRM listener for cross-site replication and PSC SSO registration. Bidirectional. Verify with network team before whitelist per network team's comment.</x:t>
  </x:si>
  <x:si>
    <x:t xml:space="preserve">NSX Federation Async Replication (AR)</x:t>
  </x:si>
  <x:si>
    <x:t xml:space="preserve">NSX Local Manager (M2) — all AZs</x:t>
  </x:si>
  <x:si>
    <x:t xml:space="preserve">⚠️ NEWLY ADDED per NSX team 23/03/2026. Core Federation sync — GM pushes Global config to LMs. Was completely missing. Whitelist immediately.</x:t>
  </x:si>
  <x:si>
    <x:t xml:space="preserve">Inter-SR BGP (NSX Federation cross-AZ)</x:t>
  </x:si>
  <x:si>
    <x:t xml:space="preserve">NSX Edge Node Service Router (local AZ)</x:t>
  </x:si>
  <x:si>
    <x:t xml:space="preserve">NSX Remote Edge SR (peer AZ)</x:t>
  </x:si>
  <x:si>
    <x:t xml:space="preserve">Inter-site BGP between T0 Service Routers. Distinct from Edge→ToR BGP (BGP-01 to BGP-08).</x:t>
  </x:si>
  <x:si>
    <x:t xml:space="preserve">CF row 165-175 — vSphere Replication VMkernel NFC traffic. Required for LVR Site Protection &amp; DR.</x:t>
  </x:si>
  <x:si>
    <x:t xml:space="preserve">vSphere Replication NFC — Changed Blocks</x:t>
  </x:si>
  <x:si>
    <x:t xml:space="preserve">CF row 165-175 — Changed data block replication. Bidirectional between VLR and ESXi VMkernel.</x:t>
  </x:si>
  <x:si>
    <x:t xml:space="preserve">vSphere Replication NFC — Alternate</x:t>
  </x:si>
  <x:si>
    <x:t xml:space="preserve">CF row 165-175 — Alternate NFC port for vSphere Replication. Bidirectional.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</x:si>
</x:sst>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Calibri"/>
    </x:font>
    <x:font>
      <x:b/>
      <x:sz val="13"/>
      <x:color rgb="FFFFFF"/>
      <x:name val="Arial"/>
    </x:font>
    <x:font/>
    <x:font>
      <x:sz val="11"/>
      <x:color theme="1"/>
      <x:name val="Calibri"/>
    </x:font>
    <x:font>
      <x:i/>
      <x:sz val="9"/>
      <x:color rgb="7F0000"/>
      <x:name val="Arial"/>
    </x:font>
    <x:font>
      <x:b/>
      <x:sz val="9"/>
      <x:color rgb="FFFFFF"/>
      <x:name val="Arial"/>
    </x:font>
    <x:font>
      <x:b/>
      <x:sz val="10"/>
      <x:color rgb="FFFFFF"/>
      <x:name val="Arial"/>
    </x:font>
    <x:font>
      <x:sz val="9"/>
      <x:color rgb="000000"/>
      <x:name val="Arial"/>
    </x:font>
    <x:font>
      <x:sz val="9"/>
      <x:color rgb="7F6000"/>
      <x:name val="Arial"/>
    </x:font>
    <x:font>
      <x:sz val="9"/>
      <x:color theme="1"/>
      <x:name val="Arial"/>
    </x:font>
    <x:font>
      <x:i/>
      <x:sz val="9"/>
      <x:color rgb="7F7F7F"/>
      <x:name val="Arial"/>
    </x:font>
    <x:font>
      <x:b/>
      <x:sz val="12"/>
      <x:color rgb="FFFFFF"/>
      <x:name val="Arial"/>
    </x:font>
    <x:font>
      <x:b/>
      <x:sz val="9"/>
      <x:color rgb="375623"/>
      <x:name val="Arial"/>
    </x:font>
    <x:font>
      <x:b/>
      <x:sz val="9"/>
      <x:color rgb="0B5E34"/>
      <x:name val="Arial"/>
    </x:font>
    <x:font>
      <x:b/>
      <x:sz val="9"/>
      <x:color rgb="7030A0"/>
      <x:name val="Arial"/>
    </x:font>
    <x:font>
      <x:b/>
      <x:sz val="9"/>
      <x:color rgb="C55A11"/>
      <x:name val="Arial"/>
    </x:font>
    <x:font>
      <x:b/>
      <x:sz val="9"/>
      <x:color rgb="1F3864"/>
      <x:name val="Arial"/>
    </x:font>
    <x:font>
      <x:b/>
      <x:sz val="9"/>
      <x:color rgb="000000"/>
      <x:name val="Arial"/>
    </x:font>
  </x:fonts>
  <x:fills count="16">
    <x:fill>
      <x:patternFill patternType="none"/>
    </x:fill>
    <x:fill>
      <x:patternFill patternType="lightGray"/>
    </x:fill>
    <x:fill>
      <x:patternFill patternType="solid">
        <x:fgColor rgb="1F3864"/>
      </x:patternFill>
    </x:fill>
    <x:fill>
      <x:patternFill patternType="solid">
        <x:fgColor rgb="FFF2CC"/>
      </x:patternFill>
    </x:fill>
    <x:fill>
      <x:patternFill patternType="solid">
        <x:fgColor rgb="2E75B6"/>
      </x:patternFill>
    </x:fill>
    <x:fill>
      <x:patternFill patternType="solid">
        <x:fgColor rgb="DEEAF1"/>
      </x:patternFill>
    </x:fill>
    <x:fill>
      <x:patternFill patternType="solid">
        <x:fgColor rgb="FFFF99"/>
      </x:patternFill>
    </x:fill>
    <x:fill>
      <x:patternFill patternType="solid">
        <x:fgColor rgb="7030A0"/>
      </x:patternFill>
    </x:fill>
    <x:fill>
      <x:patternFill patternType="solid">
        <x:fgColor rgb="F2F2F2"/>
      </x:patternFill>
    </x:fill>
    <x:fill>
      <x:patternFill patternType="solid">
        <x:fgColor rgb="FFFFFF"/>
      </x:patternFill>
    </x:fill>
    <x:fill>
      <x:patternFill patternType="solid">
        <x:fgColor rgb="E5E5E5"/>
      </x:patternFill>
    </x:fill>
    <x:fill>
      <x:patternFill patternType="solid">
        <x:fgColor rgb="FFFF00"/>
      </x:patternFill>
    </x:fill>
    <x:fill>
      <x:patternFill patternType="solid">
        <x:fgColor rgb="E2EFDA"/>
      </x:patternFill>
    </x:fill>
    <x:fill>
      <x:patternFill patternType="solid">
        <x:fgColor rgb="BDD7EE"/>
      </x:patternFill>
    </x:fill>
    <x:fill>
      <x:patternFill patternType="solid">
        <x:fgColor rgb="F3E5F5"/>
      </x:patternFill>
    </x:fill>
    <x:fill>
      <x:patternFill patternType="solid">
        <x:fgColor rgb="FCE4D6"/>
      </x:patternFill>
    </x:fill>
  </x:fills>
  <x:borders count="7">
    <x:border/>
    <x:border/>
    <x:border/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 applyFont="1" applyAlignment="1"/>
  </x:cellStyleXfs>
  <x:cellXfs count="46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/>
    <x:xf numFmtId="0" fontId="4" fillId="3" borderId="1" xfId="0" applyFont="1" applyFill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6" fillId="4" borderId="1" xfId="0" applyFont="1" applyBorder="1" applyAlignment="1">
      <x:alignment horizontal="left" vertical="center" wrapText="1"/>
    </x:xf>
    <x:xf numFmtId="0" fontId="7" fillId="5" borderId="4" xfId="0" applyFont="1" applyFill="1" applyBorder="1" applyAlignment="1">
      <x:alignment horizontal="left" vertical="center" wrapText="1"/>
    </x:xf>
    <x:xf numFmtId="0" fontId="8" fillId="6" borderId="4" xfId="0" applyFont="1" applyFill="1" applyBorder="1" applyAlignment="1">
      <x:alignment horizontal="left" vertical="center" wrapText="1"/>
    </x:xf>
    <x:xf numFmtId="0" fontId="9" fillId="5" borderId="4" xfId="0" applyFont="1" applyBorder="1" applyAlignment="1">
      <x:alignment horizontal="left" vertical="center" wrapText="1"/>
    </x:xf>
    <x:xf numFmtId="0" fontId="6" fillId="7" borderId="1" xfId="0" applyFont="1" applyFill="1" applyBorder="1" applyAlignment="1">
      <x:alignment horizontal="left" vertical="center" wrapText="1"/>
    </x:xf>
    <x:xf numFmtId="0" fontId="10" fillId="8" borderId="4" xfId="0" applyFont="1" applyFill="1" applyBorder="1" applyAlignment="1">
      <x:alignment horizontal="center" vertical="center" wrapText="1"/>
    </x:xf>
    <x:xf numFmtId="0" fontId="3" fillId="0" borderId="0" xfId="0" applyFont="1" applyAlignment="1">
      <x:alignment vertical="bottom"/>
    </x:xf>
    <x:xf numFmtId="0" fontId="9" fillId="9" borderId="5" xfId="0" applyFont="1" applyFill="1" applyBorder="1" applyAlignment="1">
      <x:alignment horizontal="left" vertical="center" wrapText="1"/>
    </x:xf>
    <x:xf numFmtId="0" fontId="9" fillId="9" borderId="5" xfId="0" applyFont="1" applyBorder="1" applyAlignment="1">
      <x:alignment vertical="bottom"/>
    </x:xf>
    <x:xf numFmtId="0" fontId="9" fillId="9" borderId="5" xfId="0" applyFont="1" applyBorder="1" applyAlignment="1">
      <x:alignment horizontal="center" vertical="center" wrapText="1"/>
    </x:xf>
    <x:xf numFmtId="0" fontId="7" fillId="9" borderId="5" xfId="0" applyFont="1" applyBorder="1" applyAlignment="1">
      <x:alignment horizontal="left" vertical="center" wrapText="1"/>
    </x:xf>
    <x:xf numFmtId="0" fontId="3" fillId="9" borderId="5" xfId="0" applyFont="1" applyBorder="1" applyAlignment="1">
      <x:alignment vertical="bottom"/>
    </x:xf>
    <x:xf numFmtId="0" fontId="3" fillId="10" borderId="6" xfId="0" applyFont="1" applyFill="1" applyBorder="1" applyAlignment="1">
      <x:alignment vertical="bottom"/>
    </x:xf>
    <x:xf numFmtId="0" fontId="3" fillId="0" borderId="6" xfId="0" applyFont="1" applyBorder="1" applyAlignment="1">
      <x:alignment vertical="bottom"/>
    </x:xf>
    <x:xf numFmtId="0" fontId="3" fillId="11" borderId="6" xfId="0" applyFont="1" applyFill="1" applyBorder="1" applyAlignment="1">
      <x:alignment vertical="bottom"/>
    </x:xf>
    <x:xf numFmtId="0" fontId="11" fillId="2" borderId="1" xfId="0" applyFont="1" applyBorder="1" applyAlignment="1">
      <x:alignment horizontal="center" vertical="center" wrapText="1"/>
    </x:xf>
    <x:xf numFmtId="0" fontId="7" fillId="8" borderId="4" xfId="0" applyFont="1" applyBorder="1" applyAlignment="1">
      <x:alignment horizontal="left" vertical="center" wrapText="1"/>
    </x:xf>
    <x:xf numFmtId="0" fontId="12" fillId="12" borderId="4" xfId="0" applyFont="1" applyFill="1" applyBorder="1" applyAlignment="1">
      <x:alignment horizontal="left" vertical="center" wrapText="1"/>
    </x:xf>
    <x:xf numFmtId="0" fontId="7" fillId="13" borderId="4" xfId="0" applyFont="1" applyFill="1" applyBorder="1" applyAlignment="1">
      <x:alignment horizontal="left" vertical="center" wrapText="1"/>
    </x:xf>
    <x:xf numFmtId="0" fontId="7" fillId="9" borderId="4" xfId="0" applyFont="1" applyBorder="1" applyAlignment="1">
      <x:alignment horizontal="left" vertical="center" wrapText="1"/>
    </x:xf>
    <x:xf numFmtId="0" fontId="9" fillId="8" borderId="4" xfId="0" applyFont="1" applyBorder="1" applyAlignment="1">
      <x:alignment horizontal="left" vertical="center" wrapText="1"/>
    </x:xf>
    <x:xf numFmtId="0" fontId="9" fillId="13" borderId="4" xfId="0" applyFont="1" applyBorder="1" applyAlignment="1">
      <x:alignment horizontal="left" vertical="center" wrapText="1"/>
    </x:xf>
    <x:xf numFmtId="0" fontId="9" fillId="9" borderId="4" xfId="0" applyFont="1" applyBorder="1" applyAlignment="1">
      <x:alignment horizontal="left" vertical="center" wrapText="1"/>
    </x:xf>
    <x:xf numFmtId="0" fontId="9" fillId="12" borderId="4" xfId="0" applyFont="1" applyBorder="1" applyAlignment="1">
      <x:alignment horizontal="left" vertical="center" wrapText="1"/>
    </x:xf>
    <x:xf numFmtId="0" fontId="9" fillId="12" borderId="4" xfId="0" applyFont="1" applyBorder="1" applyAlignment="1">
      <x:alignment horizontal="left" vertical="center" wrapText="1"/>
    </x:xf>
    <x:xf numFmtId="0" fontId="13" fillId="12" borderId="0" xfId="0" applyFont="1" applyAlignment="1">
      <x:alignment horizontal="center" vertical="center"/>
    </x:xf>
    <x:xf numFmtId="0" fontId="14" fillId="14" borderId="4" xfId="0" applyFont="1" applyFill="1" applyBorder="1" applyAlignment="1">
      <x:alignment horizontal="left" vertical="center" wrapText="1"/>
    </x:xf>
    <x:xf numFmtId="0" fontId="9" fillId="14" borderId="4" xfId="0" applyFont="1" applyBorder="1" applyAlignment="1">
      <x:alignment horizontal="left" vertical="center" wrapText="1"/>
    </x:xf>
    <x:xf numFmtId="0" fontId="15" fillId="15" borderId="4" xfId="0" applyFont="1" applyFill="1" applyBorder="1" applyAlignment="1">
      <x:alignment horizontal="left" vertical="center" wrapText="1"/>
    </x:xf>
    <x:xf numFmtId="0" fontId="14" fillId="12" borderId="4" xfId="0" applyFont="1" applyBorder="1" applyAlignment="1">
      <x:alignment horizontal="left" vertical="center" wrapText="1"/>
    </x:xf>
    <x:xf numFmtId="0" fontId="7" fillId="12" borderId="4" xfId="0" applyFont="1" applyBorder="1" applyAlignment="1">
      <x:alignment horizontal="left" vertical="center" wrapText="1"/>
    </x:xf>
    <x:xf numFmtId="0" fontId="7" fillId="15" borderId="4" xfId="0" applyFont="1" applyBorder="1" applyAlignment="1">
      <x:alignment horizontal="left" vertical="center" wrapText="1"/>
    </x:xf>
    <x:xf numFmtId="0" fontId="9" fillId="15" borderId="4" xfId="0" applyFont="1" applyBorder="1" applyAlignment="1">
      <x:alignment horizontal="left" vertical="center" wrapText="1"/>
    </x:xf>
    <x:xf numFmtId="0" fontId="16" fillId="9" borderId="4" xfId="0" applyFont="1" applyBorder="1" applyAlignment="1">
      <x:alignment horizontal="left" vertical="center" wrapText="1"/>
    </x:xf>
    <x:xf numFmtId="0" fontId="16" fillId="8" borderId="4" xfId="0" applyFont="1" applyBorder="1" applyAlignment="1">
      <x:alignment horizontal="left" vertical="center" wrapText="1"/>
    </x:xf>
    <x:xf numFmtId="0" fontId="7" fillId="14" borderId="4" xfId="0" applyFont="1" applyBorder="1" applyAlignment="1">
      <x:alignment horizontal="left" vertical="center" wrapText="1"/>
    </x:xf>
    <x:xf numFmtId="0" fontId="14" fillId="9" borderId="4" xfId="0" applyFont="1" applyBorder="1" applyAlignment="1">
      <x:alignment horizontal="left" vertical="center" wrapText="1"/>
    </x:xf>
    <x:xf numFmtId="0" fontId="14" fillId="8" borderId="4" xfId="0" applyFont="1" applyBorder="1" applyAlignment="1">
      <x:alignment horizontal="left" vertical="center" wrapText="1"/>
    </x:xf>
    <x:xf numFmtId="0" fontId="17" fillId="9" borderId="4" xfId="0" applyFont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fbf5428b945ae" /><Relationship Type="http://schemas.openxmlformats.org/officeDocument/2006/relationships/theme" Target="/xl/theme/theme1.xml" Id="R48d48208c2414296" /><Relationship Type="http://schemas.openxmlformats.org/officeDocument/2006/relationships/sharedStrings" Target="/xl/sharedStrings.xml" Id="R8a3222c1474d4cbe" /><Relationship Type="http://schemas.openxmlformats.org/officeDocument/2006/relationships/worksheet" Target="/xl/worksheets/sheet1.xml" Id="R1cccfc73567e4aab" /><Relationship Type="http://schemas.openxmlformats.org/officeDocument/2006/relationships/worksheet" Target="/xl/worksheets/sheet2.xml" Id="R1abd8dece43e43a5" /><Relationship Type="http://schemas.openxmlformats.org/officeDocument/2006/relationships/worksheet" Target="/xl/worksheets/sheet3.xml" Id="Rd6b99a7e80634759" /><Relationship Type="http://schemas.openxmlformats.org/officeDocument/2006/relationships/worksheet" Target="/xl/worksheets/sheet4.xml" Id="Rdde7cac68e3c44b8" /><Relationship Type="http://schemas.openxmlformats.org/officeDocument/2006/relationships/worksheet" Target="/xl/worksheets/sheet5.xml" Id="R637c756d18cb4550" /><Relationship Type="http://schemas.openxmlformats.org/officeDocument/2006/relationships/worksheet" Target="/xl/worksheets/sheet6.xml" Id="R8c81e87f9be9439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0000"/>
  </x:sheetPr>
  <x:sheetFormatPr defaultColWidth="14.430000305175781" defaultRowHeight="15"/>
  <x:cols>
    <x:col min="1" max="1" width="7" customWidth="1"/>
    <x:col min="2" max="2" width="45" customWidth="1"/>
    <x:col min="3" max="6" width="22" customWidth="1"/>
  </x:cols>
  <x:sheetData>
    <x:row r="1" ht="31.5" customHeight="1">
      <x:c r="A1" s="1" t="s">
        <x:v>0</x:v>
      </x:c>
      <x:c r="B1" s="2"/>
      <x:c r="C1" s="2"/>
      <x:c r="D1" s="2"/>
      <x:c r="E1" s="2"/>
      <x:c r="F1" s="3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9.5" customHeight="1">
      <x:c r="A2" s="5" t="s">
        <x:v>1</x:v>
      </x:c>
      <x:c r="B2" s="2"/>
      <x:c r="C2" s="2"/>
      <x:c r="D2" s="2"/>
      <x:c r="E2" s="2"/>
      <x:c r="F2" s="3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4" customHeight="1">
      <x:c r="A3" s="6" t="s">
        <x:v>2</x:v>
      </x:c>
      <x:c r="B3" s="6" t="s">
        <x:v>3</x:v>
      </x:c>
      <x:c r="C3" s="6" t="s">
        <x:v>4</x:v>
      </x:c>
      <x:c r="D3" s="6" t="s">
        <x:v>5</x:v>
      </x:c>
      <x:c r="E3" s="6" t="s">
        <x:v>6</x:v>
      </x:c>
      <x:c r="F3" s="6" t="s">
        <x:v>7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1.75" customHeight="1">
      <x:c r="A4" s="7" t="s">
        <x:v>8</x:v>
      </x:c>
      <x:c r="B4" s="2"/>
      <x:c r="C4" s="2"/>
      <x:c r="D4" s="2"/>
      <x:c r="E4" s="2"/>
      <x:c r="F4" s="3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8" t="s">
        <x:v>9</x:v>
      </x:c>
      <x:c r="B5" s="8" t="s">
        <x:v>10</x:v>
      </x:c>
      <x:c r="C5" s="8" t="s">
        <x:v>11</x:v>
      </x:c>
      <x:c r="D5" s="9" t="s">
        <x:v>12</x:v>
      </x:c>
      <x:c r="E5" s="9" t="s">
        <x:v>12</x:v>
      </x:c>
      <x:c r="F5" s="9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8" t="s">
        <x:v>13</x:v>
      </x:c>
      <x:c r="B6" s="8" t="s">
        <x:v>14</x:v>
      </x:c>
      <x:c r="C6" s="8" t="s">
        <x:v>15</x:v>
      </x:c>
      <x:c r="D6" s="9" t="s">
        <x:v>16</x:v>
      </x:c>
      <x:c r="E6" s="9"/>
      <x:c r="F6" s="9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8" t="s">
        <x:v>17</x:v>
      </x:c>
      <x:c r="B7" s="8" t="s">
        <x:v>18</x:v>
      </x:c>
      <x:c r="C7" s="8" t="s">
        <x:v>19</x:v>
      </x:c>
      <x:c r="D7" s="9" t="s">
        <x:v>16</x:v>
      </x:c>
      <x:c r="E7" s="9"/>
      <x:c r="F7" s="9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8" t="s">
        <x:v>20</x:v>
      </x:c>
      <x:c r="B8" s="8" t="s">
        <x:v>21</x:v>
      </x:c>
      <x:c r="C8" s="8" t="s">
        <x:v>22</x:v>
      </x:c>
      <x:c r="D8" s="9" t="s">
        <x:v>16</x:v>
      </x:c>
      <x:c r="E8" s="9"/>
      <x:c r="F8" s="9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8" t="s">
        <x:v>23</x:v>
      </x:c>
      <x:c r="B9" s="8" t="s">
        <x:v>24</x:v>
      </x:c>
      <x:c r="C9" s="8" t="s">
        <x:v>25</x:v>
      </x:c>
      <x:c r="D9" s="9" t="s">
        <x:v>16</x:v>
      </x:c>
      <x:c r="E9" s="9"/>
      <x:c r="F9" s="9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8" t="s">
        <x:v>26</x:v>
      </x:c>
      <x:c r="B10" s="8" t="s">
        <x:v>27</x:v>
      </x:c>
      <x:c r="C10" s="8" t="s">
        <x:v>28</x:v>
      </x:c>
      <x:c r="D10" s="9" t="s">
        <x:v>29</x:v>
      </x:c>
      <x:c r="E10" s="9" t="s">
        <x:v>30</x:v>
      </x:c>
      <x:c r="F10" s="9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8" t="s">
        <x:v>31</x:v>
      </x:c>
      <x:c r="B11" s="8" t="s">
        <x:v>32</x:v>
      </x:c>
      <x:c r="C11" s="8" t="s">
        <x:v>33</x:v>
      </x:c>
      <x:c r="D11" s="9" t="s">
        <x:v>16</x:v>
      </x:c>
      <x:c r="E11" s="9" t="s">
        <x:v>16</x:v>
      </x:c>
      <x:c r="F11" s="9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21.75" customHeight="1">
      <x:c r="A12" s="7" t="s">
        <x:v>34</x:v>
      </x:c>
      <x:c r="B12" s="2"/>
      <x:c r="C12" s="2"/>
      <x:c r="D12" s="2"/>
      <x:c r="E12" s="2"/>
      <x:c r="F12" s="3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8" t="s">
        <x:v>35</x:v>
      </x:c>
      <x:c r="B13" s="8" t="s">
        <x:v>36</x:v>
      </x:c>
      <x:c r="C13" s="8" t="s">
        <x:v>37</x:v>
      </x:c>
      <x:c r="D13" s="9" t="s">
        <x:v>38</x:v>
      </x:c>
      <x:c r="E13" s="9" t="s">
        <x:v>39</x:v>
      </x:c>
      <x:c r="F13" s="9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8" t="s">
        <x:v>40</x:v>
      </x:c>
      <x:c r="B14" s="8" t="s">
        <x:v>41</x:v>
      </x:c>
      <x:c r="C14" s="8" t="s">
        <x:v>42</x:v>
      </x:c>
      <x:c r="D14" s="9" t="s">
        <x:v>29</x:v>
      </x:c>
      <x:c r="E14" s="9" t="s">
        <x:v>30</x:v>
      </x:c>
      <x:c r="F14" s="9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8" t="s">
        <x:v>43</x:v>
      </x:c>
      <x:c r="B15" s="8" t="s">
        <x:v>44</x:v>
      </x:c>
      <x:c r="C15" s="8" t="s">
        <x:v>45</x:v>
      </x:c>
      <x:c r="D15" s="9" t="s">
        <x:v>29</x:v>
      </x:c>
      <x:c r="E15" s="9" t="s">
        <x:v>30</x:v>
      </x:c>
      <x:c r="F15" s="9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8" t="s">
        <x:v>46</x:v>
      </x:c>
      <x:c r="B16" s="8" t="s">
        <x:v>47</x:v>
      </x:c>
      <x:c r="C16" s="8" t="s">
        <x:v>48</x:v>
      </x:c>
      <x:c r="D16" s="9" t="s">
        <x:v>49</x:v>
      </x:c>
      <x:c r="E16" s="9" t="s">
        <x:v>50</x:v>
      </x:c>
      <x:c r="F16" s="9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8" t="s">
        <x:v>51</x:v>
      </x:c>
      <x:c r="B17" s="8" t="s">
        <x:v>52</x:v>
      </x:c>
      <x:c r="C17" s="8" t="s">
        <x:v>53</x:v>
      </x:c>
      <x:c r="D17" s="9" t="s">
        <x:v>54</x:v>
      </x:c>
      <x:c r="E17" s="9" t="s">
        <x:v>55</x:v>
      </x:c>
      <x:c r="F17" s="9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8" t="s">
        <x:v>56</x:v>
      </x:c>
      <x:c r="B18" s="8" t="s">
        <x:v>57</x:v>
      </x:c>
      <x:c r="C18" s="8" t="s">
        <x:v>58</x:v>
      </x:c>
      <x:c r="D18" s="9" t="s">
        <x:v>29</x:v>
      </x:c>
      <x:c r="E18" s="9" t="s">
        <x:v>30</x:v>
      </x:c>
      <x:c r="F18" s="9" t="s">
        <x:v>59</x:v>
      </x:c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8" t="s">
        <x:v>60</x:v>
      </x:c>
      <x:c r="B19" s="8" t="s">
        <x:v>61</x:v>
      </x:c>
      <x:c r="C19" s="8" t="s">
        <x:v>62</x:v>
      </x:c>
      <x:c r="D19" s="9" t="s">
        <x:v>63</x:v>
      </x:c>
      <x:c r="E19" s="9"/>
      <x:c r="F19" s="9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10" t="s">
        <x:v>64</x:v>
      </x:c>
      <x:c r="B20" s="10" t="s">
        <x:v>65</x:v>
      </x:c>
      <x:c r="C20" s="10" t="s">
        <x:v>66</x:v>
      </x:c>
      <x:c r="D20" s="9" t="s">
        <x:v>67</x:v>
      </x:c>
      <x:c r="E20" s="9"/>
      <x:c r="F20" s="9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21.75" customHeight="1">
      <x:c r="A21" s="11" t="s">
        <x:v>68</x:v>
      </x:c>
      <x:c r="B21" s="2"/>
      <x:c r="C21" s="2"/>
      <x:c r="D21" s="2"/>
      <x:c r="E21" s="2"/>
      <x:c r="F21" s="3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10" t="s">
        <x:v>69</x:v>
      </x:c>
      <x:c r="B22" s="10" t="s">
        <x:v>70</x:v>
      </x:c>
      <x:c r="C22" s="10" t="s">
        <x:v>71</x:v>
      </x:c>
      <x:c r="D22" s="9" t="s">
        <x:v>72</x:v>
      </x:c>
      <x:c r="E22" s="9" t="s">
        <x:v>73</x:v>
      </x:c>
      <x:c r="F22" s="9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10" t="s">
        <x:v>74</x:v>
      </x:c>
      <x:c r="B23" s="10" t="s">
        <x:v>75</x:v>
      </x:c>
      <x:c r="C23" s="10" t="s">
        <x:v>76</x:v>
      </x:c>
      <x:c r="D23" s="9" t="s">
        <x:v>77</x:v>
      </x:c>
      <x:c r="E23" s="9" t="s">
        <x:v>78</x:v>
      </x:c>
      <x:c r="F23" s="9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10" t="s">
        <x:v>79</x:v>
      </x:c>
      <x:c r="B24" s="10" t="s">
        <x:v>80</x:v>
      </x:c>
      <x:c r="C24" s="10" t="s">
        <x:v>81</x:v>
      </x:c>
      <x:c r="D24" s="9" t="s">
        <x:v>82</x:v>
      </x:c>
      <x:c r="E24" s="9" t="s">
        <x:v>83</x:v>
      </x:c>
      <x:c r="F24" s="9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10" t="s">
        <x:v>84</x:v>
      </x:c>
      <x:c r="B25" s="10" t="s">
        <x:v>85</x:v>
      </x:c>
      <x:c r="C25" s="10" t="s">
        <x:v>86</x:v>
      </x:c>
      <x:c r="D25" s="9" t="s">
        <x:v>87</x:v>
      </x:c>
      <x:c r="E25" s="9" t="s">
        <x:v>88</x:v>
      </x:c>
      <x:c r="F25" s="9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10" t="s">
        <x:v>89</x:v>
      </x:c>
      <x:c r="B26" s="10" t="s">
        <x:v>90</x:v>
      </x:c>
      <x:c r="C26" s="10" t="s">
        <x:v>91</x:v>
      </x:c>
      <x:c r="D26" s="9" t="s">
        <x:v>92</x:v>
      </x:c>
      <x:c r="E26" s="9" t="s">
        <x:v>93</x:v>
      </x:c>
      <x:c r="F26" s="9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10" t="s">
        <x:v>94</x:v>
      </x:c>
      <x:c r="B27" s="10" t="s">
        <x:v>95</x:v>
      </x:c>
      <x:c r="C27" s="10" t="s">
        <x:v>96</x:v>
      </x:c>
      <x:c r="D27" s="9" t="s">
        <x:v>97</x:v>
      </x:c>
      <x:c r="E27" s="9" t="s">
        <x:v>98</x:v>
      </x:c>
      <x:c r="F27" s="9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10" t="s">
        <x:v>99</x:v>
      </x:c>
      <x:c r="B28" s="10" t="s">
        <x:v>100</x:v>
      </x:c>
      <x:c r="C28" s="10" t="s">
        <x:v>101</x:v>
      </x:c>
      <x:c r="D28" s="9" t="s">
        <x:v>102</x:v>
      </x:c>
      <x:c r="E28" s="9" t="s">
        <x:v>103</x:v>
      </x:c>
      <x:c r="F28" s="9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10" t="s">
        <x:v>104</x:v>
      </x:c>
      <x:c r="B29" s="10" t="s">
        <x:v>105</x:v>
      </x:c>
      <x:c r="C29" s="10" t="s">
        <x:v>106</x:v>
      </x:c>
      <x:c r="D29" s="9" t="s">
        <x:v>107</x:v>
      </x:c>
      <x:c r="E29" s="9" t="s">
        <x:v>108</x:v>
      </x:c>
      <x:c r="F29" s="9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10" t="s">
        <x:v>109</x:v>
      </x:c>
      <x:c r="B30" s="10" t="s">
        <x:v>110</x:v>
      </x:c>
      <x:c r="C30" s="10" t="s">
        <x:v>111</x:v>
      </x:c>
      <x:c r="D30" s="9" t="s">
        <x:v>112</x:v>
      </x:c>
      <x:c r="E30" s="9" t="s">
        <x:v>113</x:v>
      </x:c>
      <x:c r="F30" s="9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10" t="s">
        <x:v>114</x:v>
      </x:c>
      <x:c r="B31" s="10" t="s">
        <x:v>115</x:v>
      </x:c>
      <x:c r="C31" s="10" t="s">
        <x:v>116</x:v>
      </x:c>
      <x:c r="D31" s="9" t="s">
        <x:v>117</x:v>
      </x:c>
      <x:c r="E31" s="9" t="s">
        <x:v>118</x:v>
      </x:c>
      <x:c r="F31" s="9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10" t="s">
        <x:v>119</x:v>
      </x:c>
      <x:c r="B32" s="10" t="s">
        <x:v>120</x:v>
      </x:c>
      <x:c r="C32" s="10" t="s">
        <x:v>121</x:v>
      </x:c>
      <x:c r="D32" s="9" t="s">
        <x:v>122</x:v>
      </x:c>
      <x:c r="E32" s="9" t="s">
        <x:v>123</x:v>
      </x:c>
      <x:c r="F32" s="9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10" t="s">
        <x:v>124</x:v>
      </x:c>
      <x:c r="B33" s="10" t="s">
        <x:v>125</x:v>
      </x:c>
      <x:c r="C33" s="10" t="s">
        <x:v>126</x:v>
      </x:c>
      <x:c r="D33" s="9" t="s">
        <x:v>127</x:v>
      </x:c>
      <x:c r="E33" s="9" t="s">
        <x:v>78</x:v>
      </x:c>
      <x:c r="F33" s="9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10" t="s">
        <x:v>128</x:v>
      </x:c>
      <x:c r="B34" s="10" t="s">
        <x:v>129</x:v>
      </x:c>
      <x:c r="C34" s="10" t="s">
        <x:v>130</x:v>
      </x:c>
      <x:c r="D34" s="9" t="s">
        <x:v>131</x:v>
      </x:c>
      <x:c r="E34" s="9" t="s">
        <x:v>132</x:v>
      </x:c>
      <x:c r="F34" s="9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21.75" customHeight="1">
      <x:c r="A35" s="10" t="s">
        <x:v>133</x:v>
      </x:c>
      <x:c r="B35" s="10" t="s">
        <x:v>134</x:v>
      </x:c>
      <x:c r="C35" s="10" t="s">
        <x:v>135</x:v>
      </x:c>
      <x:c r="D35" s="9"/>
      <x:c r="E35" s="9"/>
      <x:c r="F35" s="9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21.75" customHeight="1">
      <x:c r="A36" s="11" t="s">
        <x:v>136</x:v>
      </x:c>
      <x:c r="B36" s="2"/>
      <x:c r="C36" s="2"/>
      <x:c r="D36" s="2"/>
      <x:c r="E36" s="2"/>
      <x:c r="F36" s="3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10" t="s">
        <x:v>137</x:v>
      </x:c>
      <x:c r="B37" s="10" t="s">
        <x:v>138</x:v>
      </x:c>
      <x:c r="C37" s="10" t="s">
        <x:v>139</x:v>
      </x:c>
      <x:c r="D37" s="9"/>
      <x:c r="E37" s="9"/>
      <x:c r="F37" s="9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10" t="s">
        <x:v>140</x:v>
      </x:c>
      <x:c r="B38" s="10" t="s">
        <x:v>141</x:v>
      </x:c>
      <x:c r="C38" s="10" t="s">
        <x:v>142</x:v>
      </x:c>
      <x:c r="D38" s="9"/>
      <x:c r="E38" s="9"/>
      <x:c r="F38" s="9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10" t="s">
        <x:v>143</x:v>
      </x:c>
      <x:c r="B39" s="10" t="s">
        <x:v>144</x:v>
      </x:c>
      <x:c r="C39" s="10" t="s">
        <x:v>145</x:v>
      </x:c>
      <x:c r="D39" s="9"/>
      <x:c r="E39" s="9"/>
      <x:c r="F39" s="9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10" t="s">
        <x:v>146</x:v>
      </x:c>
      <x:c r="B40" s="10" t="s">
        <x:v>147</x:v>
      </x:c>
      <x:c r="C40" s="10" t="s">
        <x:v>148</x:v>
      </x:c>
      <x:c r="D40" s="9"/>
      <x:c r="E40" s="9"/>
      <x:c r="F40" s="9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10" t="s">
        <x:v>149</x:v>
      </x:c>
      <x:c r="B41" s="10" t="s">
        <x:v>150</x:v>
      </x:c>
      <x:c r="C41" s="10" t="s">
        <x:v>151</x:v>
      </x:c>
      <x:c r="D41" s="9"/>
      <x:c r="E41" s="9"/>
      <x:c r="F41" s="9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10" t="s">
        <x:v>152</x:v>
      </x:c>
      <x:c r="B42" s="10" t="s">
        <x:v>153</x:v>
      </x:c>
      <x:c r="C42" s="10" t="s">
        <x:v>154</x:v>
      </x:c>
      <x:c r="D42" s="9"/>
      <x:c r="E42" s="9"/>
      <x:c r="F42" s="9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10" t="s">
        <x:v>155</x:v>
      </x:c>
      <x:c r="B43" s="10" t="s">
        <x:v>156</x:v>
      </x:c>
      <x:c r="C43" s="10" t="s">
        <x:v>157</x:v>
      </x:c>
      <x:c r="D43" s="9"/>
      <x:c r="E43" s="9"/>
      <x:c r="F43" s="9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10" t="s">
        <x:v>158</x:v>
      </x:c>
      <x:c r="B44" s="10" t="s">
        <x:v>159</x:v>
      </x:c>
      <x:c r="C44" s="10" t="s">
        <x:v>160</x:v>
      </x:c>
      <x:c r="D44" s="9"/>
      <x:c r="E44" s="9"/>
      <x:c r="F44" s="9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10" t="s">
        <x:v>161</x:v>
      </x:c>
      <x:c r="B45" s="10" t="s">
        <x:v>162</x:v>
      </x:c>
      <x:c r="C45" s="10" t="s">
        <x:v>163</x:v>
      </x:c>
      <x:c r="D45" s="9"/>
      <x:c r="E45" s="9"/>
      <x:c r="F45" s="9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10" t="s">
        <x:v>164</x:v>
      </x:c>
      <x:c r="B46" s="10" t="s">
        <x:v>165</x:v>
      </x:c>
      <x:c r="C46" s="10" t="s">
        <x:v>166</x:v>
      </x:c>
      <x:c r="D46" s="9"/>
      <x:c r="E46" s="9"/>
      <x:c r="F46" s="9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10" t="s">
        <x:v>167</x:v>
      </x:c>
      <x:c r="B47" s="10" t="s">
        <x:v>168</x:v>
      </x:c>
      <x:c r="C47" s="10" t="s">
        <x:v>169</x:v>
      </x:c>
      <x:c r="D47" s="9"/>
      <x:c r="E47" s="9"/>
      <x:c r="F47" s="9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10" t="s">
        <x:v>170</x:v>
      </x:c>
      <x:c r="B48" s="10" t="s">
        <x:v>171</x:v>
      </x:c>
      <x:c r="C48" s="10" t="s">
        <x:v>172</x:v>
      </x:c>
      <x:c r="D48" s="9"/>
      <x:c r="E48" s="9"/>
      <x:c r="F48" s="9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10" t="s">
        <x:v>173</x:v>
      </x:c>
      <x:c r="B49" s="10" t="s">
        <x:v>174</x:v>
      </x:c>
      <x:c r="C49" s="10" t="s">
        <x:v>175</x:v>
      </x:c>
      <x:c r="D49" s="9"/>
      <x:c r="E49" s="9"/>
      <x:c r="F49" s="9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10" t="s">
        <x:v>176</x:v>
      </x:c>
      <x:c r="B50" s="10" t="s">
        <x:v>177</x:v>
      </x:c>
      <x:c r="C50" s="10" t="s">
        <x:v>178</x:v>
      </x:c>
      <x:c r="D50" s="9"/>
      <x:c r="E50" s="9"/>
      <x:c r="F50" s="9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10" t="s">
        <x:v>179</x:v>
      </x:c>
      <x:c r="B51" s="10" t="s">
        <x:v>180</x:v>
      </x:c>
      <x:c r="C51" s="10" t="s">
        <x:v>181</x:v>
      </x:c>
      <x:c r="D51" s="9"/>
      <x:c r="E51" s="9"/>
      <x:c r="F51" s="9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10" t="s">
        <x:v>182</x:v>
      </x:c>
      <x:c r="B52" s="10" t="s">
        <x:v>183</x:v>
      </x:c>
      <x:c r="C52" s="10" t="s">
        <x:v>184</x:v>
      </x:c>
      <x:c r="D52" s="9"/>
      <x:c r="E52" s="9"/>
      <x:c r="F52" s="9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21.75" customHeight="1">
      <x:c r="A53" s="7" t="s">
        <x:v>185</x:v>
      </x:c>
      <x:c r="B53" s="2"/>
      <x:c r="C53" s="2"/>
      <x:c r="D53" s="2"/>
      <x:c r="E53" s="2"/>
      <x:c r="F53" s="3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5.75" customHeight="1">
      <x:c r="A54" s="10" t="s">
        <x:v>186</x:v>
      </x:c>
      <x:c r="B54" s="10" t="s">
        <x:v>187</x:v>
      </x:c>
      <x:c r="C54" s="10" t="s">
        <x:v>188</x:v>
      </x:c>
      <x:c r="D54" s="9" t="s">
        <x:v>29</x:v>
      </x:c>
      <x:c r="E54" s="9"/>
      <x:c r="F54" s="9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5.75" customHeight="1">
      <x:c r="A55" s="10" t="s">
        <x:v>189</x:v>
      </x:c>
      <x:c r="B55" s="10" t="s">
        <x:v>190</x:v>
      </x:c>
      <x:c r="C55" s="10" t="s">
        <x:v>191</x:v>
      </x:c>
      <x:c r="D55" s="9"/>
      <x:c r="E55" s="9"/>
      <x:c r="F55" s="9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5.75" customHeight="1">
      <x:c r="A56" s="10" t="s">
        <x:v>192</x:v>
      </x:c>
      <x:c r="B56" s="10" t="s">
        <x:v>193</x:v>
      </x:c>
      <x:c r="C56" s="10" t="s">
        <x:v>194</x:v>
      </x:c>
      <x:c r="D56" s="9"/>
      <x:c r="E56" s="9"/>
      <x:c r="F56" s="9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5.75" customHeight="1">
      <x:c r="A57" s="10" t="s">
        <x:v>195</x:v>
      </x:c>
      <x:c r="B57" s="10" t="s">
        <x:v>196</x:v>
      </x:c>
      <x:c r="C57" s="10" t="s">
        <x:v>197</x:v>
      </x:c>
      <x:c r="D57" s="9"/>
      <x:c r="E57" s="9"/>
      <x:c r="F57" s="9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5.75" customHeight="1">
      <x:c r="A58" s="10" t="s">
        <x:v>198</x:v>
      </x:c>
      <x:c r="B58" s="10" t="s">
        <x:v>199</x:v>
      </x:c>
      <x:c r="C58" s="10" t="s">
        <x:v>200</x:v>
      </x:c>
      <x:c r="D58" s="9"/>
      <x:c r="E58" s="9"/>
      <x:c r="F58" s="9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5.75" customHeight="1">
      <x:c r="A59" s="7" t="s">
        <x:v>201</x:v>
      </x:c>
      <x:c r="B59" s="2"/>
      <x:c r="C59" s="2"/>
      <x:c r="D59" s="2"/>
      <x:c r="E59" s="2"/>
      <x:c r="F59" s="3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10" t="s">
        <x:v>202</x:v>
      </x:c>
      <x:c r="B60" s="10" t="s">
        <x:v>203</x:v>
      </x:c>
      <x:c r="C60" s="10" t="s">
        <x:v>204</x:v>
      </x:c>
      <x:c r="D60" s="9"/>
      <x:c r="E60" s="12" t="s">
        <x:v>205</x:v>
      </x:c>
      <x:c r="F60" s="12" t="s">
        <x:v>205</x:v>
      </x:c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10" t="s">
        <x:v>206</x:v>
      </x:c>
      <x:c r="B61" s="10" t="s">
        <x:v>207</x:v>
      </x:c>
      <x:c r="C61" s="10" t="s">
        <x:v>208</x:v>
      </x:c>
      <x:c r="D61" s="9"/>
      <x:c r="E61" s="12" t="s">
        <x:v>205</x:v>
      </x:c>
      <x:c r="F61" s="12" t="s">
        <x:v>205</x:v>
      </x:c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10" t="s">
        <x:v>209</x:v>
      </x:c>
      <x:c r="B62" s="10" t="s">
        <x:v>210</x:v>
      </x:c>
      <x:c r="C62" s="10" t="s">
        <x:v>211</x:v>
      </x:c>
      <x:c r="D62" s="9"/>
      <x:c r="E62" s="12" t="s">
        <x:v>205</x:v>
      </x:c>
      <x:c r="F62" s="12" t="s">
        <x:v>205</x:v>
      </x:c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10" t="s">
        <x:v>212</x:v>
      </x:c>
      <x:c r="B63" s="10" t="s">
        <x:v>213</x:v>
      </x:c>
      <x:c r="C63" s="10" t="s">
        <x:v>214</x:v>
      </x:c>
      <x:c r="D63" s="9"/>
      <x:c r="E63" s="12" t="s">
        <x:v>205</x:v>
      </x:c>
      <x:c r="F63" s="12" t="s">
        <x:v>205</x:v>
      </x:c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10" t="s">
        <x:v>215</x:v>
      </x:c>
      <x:c r="B64" s="10" t="s">
        <x:v>216</x:v>
      </x:c>
      <x:c r="C64" s="10" t="s">
        <x:v>217</x:v>
      </x:c>
      <x:c r="D64" s="9"/>
      <x:c r="E64" s="12" t="s">
        <x:v>205</x:v>
      </x:c>
      <x:c r="F64" s="12" t="s">
        <x:v>205</x:v>
      </x:c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10" t="s">
        <x:v>218</x:v>
      </x:c>
      <x:c r="B65" s="10" t="s">
        <x:v>219</x:v>
      </x:c>
      <x:c r="C65" s="10" t="s">
        <x:v>220</x:v>
      </x:c>
      <x:c r="D65" s="9"/>
      <x:c r="E65" s="12" t="s">
        <x:v>205</x:v>
      </x:c>
      <x:c r="F65" s="12" t="s">
        <x:v>205</x:v>
      </x:c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13"/>
      <x:c r="B66" s="13"/>
      <x:c r="C66" s="13"/>
      <x:c r="D66" s="13"/>
      <x:c r="E66" s="13"/>
      <x:c r="F66" s="13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10" t="s">
        <x:v>221</x:v>
      </x:c>
      <x:c r="B67" s="10" t="s">
        <x:v>222</x:v>
      </x:c>
      <x:c r="C67" s="10" t="s">
        <x:v>223</x:v>
      </x:c>
      <x:c r="D67" s="9"/>
      <x:c r="E67" s="12" t="s">
        <x:v>205</x:v>
      </x:c>
      <x:c r="F67" s="12" t="s">
        <x:v>205</x:v>
      </x:c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14"/>
      <x:c r="B68" s="14"/>
      <x:c r="C68" s="15"/>
      <x:c r="D68" s="15"/>
      <x:c r="E68" s="16"/>
      <x:c r="F68" s="15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15"/>
      <x:c r="B69" s="14"/>
      <x:c r="C69" s="15"/>
      <x:c r="D69" s="15"/>
      <x:c r="E69" s="15"/>
      <x:c r="F69" s="15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13"/>
      <x:c r="B70" s="13"/>
      <x:c r="C70" s="13"/>
      <x:c r="D70" s="13"/>
      <x:c r="E70" s="13"/>
      <x:c r="F70" s="13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13"/>
      <x:c r="B71" s="13"/>
      <x:c r="C71" s="13"/>
      <x:c r="D71" s="13"/>
      <x:c r="E71" s="13"/>
      <x:c r="F71" s="13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17"/>
      <x:c r="B72" s="17"/>
      <x:c r="C72" s="17"/>
      <x:c r="D72" s="18"/>
      <x:c r="E72" s="18"/>
      <x:c r="F72" s="18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18"/>
      <x:c r="B73" s="17"/>
      <x:c r="C73" s="17"/>
      <x:c r="D73" s="18"/>
      <x:c r="E73" s="18"/>
      <x:c r="F73" s="18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18"/>
      <x:c r="B74" s="17"/>
      <x:c r="C74" s="17"/>
      <x:c r="D74" s="18"/>
      <x:c r="E74" s="18"/>
      <x:c r="F74" s="18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18"/>
      <x:c r="B75" s="17"/>
      <x:c r="C75" s="17"/>
      <x:c r="D75" s="18"/>
      <x:c r="E75" s="18"/>
      <x:c r="F75" s="18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13"/>
      <x:c r="B76" s="13"/>
      <x:c r="C76" s="13"/>
      <x:c r="D76" s="13"/>
      <x:c r="E76" s="13"/>
      <x:c r="F76" s="13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13"/>
      <x:c r="B77" s="13"/>
      <x:c r="C77" s="13"/>
      <x:c r="D77" s="13"/>
      <x:c r="E77" s="13"/>
      <x:c r="F77" s="13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13" t="s">
        <x:v>224</x:v>
      </x:c>
      <x:c r="B78" s="19" t="s">
        <x:v>225</x:v>
      </x:c>
      <x:c r="C78" s="19" t="s">
        <x:v>226</x:v>
      </x:c>
      <x:c r="D78" s="13"/>
      <x:c r="E78" s="13"/>
      <x:c r="F78" s="13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13"/>
      <x:c r="B79" s="20" t="s">
        <x:v>227</x:v>
      </x:c>
      <x:c r="C79" s="19" t="s">
        <x:v>72</x:v>
      </x:c>
      <x:c r="D79" s="13"/>
      <x:c r="E79" s="13"/>
      <x:c r="F79" s="13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13"/>
      <x:c r="B80" s="20" t="s">
        <x:v>228</x:v>
      </x:c>
      <x:c r="C80" s="19" t="s">
        <x:v>77</x:v>
      </x:c>
      <x:c r="D80" s="13"/>
      <x:c r="E80" s="13"/>
      <x:c r="F80" s="13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13"/>
      <x:c r="B81" s="20" t="s">
        <x:v>229</x:v>
      </x:c>
      <x:c r="C81" s="21" t="s">
        <x:v>230</x:v>
      </x:c>
      <x:c r="D81" s="13"/>
      <x:c r="E81" s="13"/>
      <x:c r="F81" s="13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13"/>
      <x:c r="B82" s="20" t="s">
        <x:v>231</x:v>
      </x:c>
      <x:c r="C82" s="20" t="s">
        <x:v>232</x:v>
      </x:c>
      <x:c r="D82" s="13"/>
      <x:c r="E82" s="13"/>
      <x:c r="F82" s="13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13" t="s">
        <x:v>233</x:v>
      </x:c>
      <x:c r="B83" s="13" t="s">
        <x:v>234</x:v>
      </x:c>
      <x:c r="C83" s="13"/>
      <x:c r="D83" s="13"/>
      <x:c r="E83" s="13"/>
      <x:c r="F83" s="13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13"/>
      <x:c r="B84" s="13"/>
      <x:c r="C84" s="13"/>
      <x:c r="D84" s="13"/>
      <x:c r="E84" s="13"/>
      <x:c r="F84" s="13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13"/>
      <x:c r="B85" s="13"/>
      <x:c r="C85" s="13"/>
      <x:c r="D85" s="13"/>
      <x:c r="E85" s="13"/>
      <x:c r="F85" s="13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13"/>
      <x:c r="B86" s="13"/>
      <x:c r="C86" s="13"/>
      <x:c r="D86" s="13"/>
      <x:c r="E86" s="13"/>
      <x:c r="F86" s="13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13"/>
      <x:c r="B87" s="13"/>
      <x:c r="C87" s="13"/>
      <x:c r="D87" s="13"/>
      <x:c r="E87" s="13"/>
      <x:c r="F87" s="13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13"/>
      <x:c r="B88" s="13"/>
      <x:c r="C88" s="13"/>
      <x:c r="D88" s="13"/>
      <x:c r="E88" s="13"/>
      <x:c r="F88" s="13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13"/>
      <x:c r="B89" s="13"/>
      <x:c r="C89" s="13"/>
      <x:c r="D89" s="13"/>
      <x:c r="E89" s="13"/>
      <x:c r="F89" s="13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13"/>
      <x:c r="B90" s="13"/>
      <x:c r="C90" s="13"/>
      <x:c r="D90" s="13"/>
      <x:c r="E90" s="13"/>
      <x:c r="F90" s="13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13"/>
      <x:c r="B91" s="13"/>
      <x:c r="C91" s="13"/>
      <x:c r="D91" s="13"/>
      <x:c r="E91" s="13"/>
      <x:c r="F91" s="13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13"/>
      <x:c r="B92" s="13"/>
      <x:c r="C92" s="13"/>
      <x:c r="D92" s="13"/>
      <x:c r="E92" s="13"/>
      <x:c r="F92" s="13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13"/>
      <x:c r="B93" s="13"/>
      <x:c r="C93" s="13"/>
      <x:c r="D93" s="13"/>
      <x:c r="E93" s="13"/>
      <x:c r="F93" s="13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13"/>
      <x:c r="B94" s="13"/>
      <x:c r="C94" s="13"/>
      <x:c r="D94" s="13"/>
      <x:c r="E94" s="13"/>
      <x:c r="F94" s="13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13"/>
      <x:c r="B95" s="13"/>
      <x:c r="C95" s="13"/>
      <x:c r="D95" s="13"/>
      <x:c r="E95" s="13"/>
      <x:c r="F95" s="13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13"/>
      <x:c r="B96" s="13"/>
      <x:c r="C96" s="13"/>
      <x:c r="D96" s="13"/>
      <x:c r="E96" s="13"/>
      <x:c r="F96" s="13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13"/>
      <x:c r="B97" s="13"/>
      <x:c r="C97" s="13"/>
      <x:c r="D97" s="13"/>
      <x:c r="E97" s="13"/>
      <x:c r="F97" s="13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13"/>
      <x:c r="B98" s="13"/>
      <x:c r="C98" s="13"/>
      <x:c r="D98" s="13"/>
      <x:c r="E98" s="13"/>
      <x:c r="F98" s="13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13"/>
      <x:c r="B99" s="13"/>
      <x:c r="C99" s="13"/>
      <x:c r="D99" s="13"/>
      <x:c r="E99" s="13"/>
      <x:c r="F99" s="13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13"/>
      <x:c r="B100" s="13"/>
      <x:c r="C100" s="13"/>
      <x:c r="D100" s="13"/>
      <x:c r="E100" s="13"/>
      <x:c r="F100" s="13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13"/>
      <x:c r="B101" s="13"/>
      <x:c r="C101" s="13"/>
      <x:c r="D101" s="13"/>
      <x:c r="E101" s="13"/>
      <x:c r="F101" s="13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13"/>
      <x:c r="B102" s="13"/>
      <x:c r="C102" s="13"/>
      <x:c r="D102" s="13"/>
      <x:c r="E102" s="13"/>
      <x:c r="F102" s="13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13"/>
      <x:c r="B103" s="13"/>
      <x:c r="C103" s="13"/>
      <x:c r="D103" s="13"/>
      <x:c r="E103" s="13"/>
      <x:c r="F103" s="13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13"/>
      <x:c r="B104" s="13"/>
      <x:c r="C104" s="13"/>
      <x:c r="D104" s="13"/>
      <x:c r="E104" s="13"/>
      <x:c r="F104" s="13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13"/>
      <x:c r="B105" s="13"/>
      <x:c r="C105" s="13"/>
      <x:c r="D105" s="13"/>
      <x:c r="E105" s="13"/>
      <x:c r="F105" s="13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13"/>
      <x:c r="B106" s="13"/>
      <x:c r="C106" s="13"/>
      <x:c r="D106" s="13"/>
      <x:c r="E106" s="13"/>
      <x:c r="F106" s="13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13"/>
      <x:c r="B107" s="13"/>
      <x:c r="C107" s="13"/>
      <x:c r="D107" s="13"/>
      <x:c r="E107" s="13"/>
      <x:c r="F107" s="13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13"/>
      <x:c r="B108" s="13"/>
      <x:c r="C108" s="13"/>
      <x:c r="D108" s="13"/>
      <x:c r="E108" s="13"/>
      <x:c r="F108" s="13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13"/>
      <x:c r="B109" s="13"/>
      <x:c r="C109" s="13"/>
      <x:c r="D109" s="13"/>
      <x:c r="E109" s="13"/>
      <x:c r="F109" s="13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13"/>
      <x:c r="B110" s="13"/>
      <x:c r="C110" s="13"/>
      <x:c r="D110" s="13"/>
      <x:c r="E110" s="13"/>
      <x:c r="F110" s="13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13"/>
      <x:c r="B111" s="13"/>
      <x:c r="C111" s="13"/>
      <x:c r="D111" s="13"/>
      <x:c r="E111" s="13"/>
      <x:c r="F111" s="13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13"/>
      <x:c r="B112" s="13"/>
      <x:c r="C112" s="13"/>
      <x:c r="D112" s="13"/>
      <x:c r="E112" s="13"/>
      <x:c r="F112" s="13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13"/>
      <x:c r="B113" s="13"/>
      <x:c r="C113" s="13"/>
      <x:c r="D113" s="13"/>
      <x:c r="E113" s="13"/>
      <x:c r="F113" s="13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13"/>
      <x:c r="B114" s="13"/>
      <x:c r="C114" s="13"/>
      <x:c r="D114" s="13"/>
      <x:c r="E114" s="13"/>
      <x:c r="F114" s="13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13"/>
      <x:c r="B115" s="13"/>
      <x:c r="C115" s="13"/>
      <x:c r="D115" s="13"/>
      <x:c r="E115" s="13"/>
      <x:c r="F115" s="13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13"/>
      <x:c r="B116" s="13"/>
      <x:c r="C116" s="13"/>
      <x:c r="D116" s="13"/>
      <x:c r="E116" s="13"/>
      <x:c r="F116" s="13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13"/>
      <x:c r="B117" s="13"/>
      <x:c r="C117" s="13"/>
      <x:c r="D117" s="13"/>
      <x:c r="E117" s="13"/>
      <x:c r="F117" s="13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13"/>
      <x:c r="B118" s="13"/>
      <x:c r="C118" s="13"/>
      <x:c r="D118" s="13"/>
      <x:c r="E118" s="13"/>
      <x:c r="F118" s="13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13"/>
      <x:c r="B119" s="13"/>
      <x:c r="C119" s="13"/>
      <x:c r="D119" s="13"/>
      <x:c r="E119" s="13"/>
      <x:c r="F119" s="13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13"/>
      <x:c r="B120" s="13"/>
      <x:c r="C120" s="13"/>
      <x:c r="D120" s="13"/>
      <x:c r="E120" s="13"/>
      <x:c r="F120" s="13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13"/>
      <x:c r="B121" s="13"/>
      <x:c r="C121" s="13"/>
      <x:c r="D121" s="13"/>
      <x:c r="E121" s="13"/>
      <x:c r="F121" s="13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13"/>
      <x:c r="B122" s="13"/>
      <x:c r="C122" s="13"/>
      <x:c r="D122" s="13"/>
      <x:c r="E122" s="13"/>
      <x:c r="F122" s="13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13"/>
      <x:c r="B123" s="13"/>
      <x:c r="C123" s="13"/>
      <x:c r="D123" s="13"/>
      <x:c r="E123" s="13"/>
      <x:c r="F123" s="13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13"/>
      <x:c r="B124" s="13"/>
      <x:c r="C124" s="13"/>
      <x:c r="D124" s="13"/>
      <x:c r="E124" s="13"/>
      <x:c r="F124" s="13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13"/>
      <x:c r="B125" s="13"/>
      <x:c r="C125" s="13"/>
      <x:c r="D125" s="13"/>
      <x:c r="E125" s="13"/>
      <x:c r="F125" s="13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13"/>
      <x:c r="B126" s="13"/>
      <x:c r="C126" s="13"/>
      <x:c r="D126" s="13"/>
      <x:c r="E126" s="13"/>
      <x:c r="F126" s="13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13"/>
      <x:c r="B127" s="13"/>
      <x:c r="C127" s="13"/>
      <x:c r="D127" s="13"/>
      <x:c r="E127" s="13"/>
      <x:c r="F127" s="13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13"/>
      <x:c r="B128" s="13"/>
      <x:c r="C128" s="13"/>
      <x:c r="D128" s="13"/>
      <x:c r="E128" s="13"/>
      <x:c r="F128" s="13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13"/>
      <x:c r="B129" s="13"/>
      <x:c r="C129" s="13"/>
      <x:c r="D129" s="13"/>
      <x:c r="E129" s="13"/>
      <x:c r="F129" s="13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13"/>
      <x:c r="B130" s="13"/>
      <x:c r="C130" s="13"/>
      <x:c r="D130" s="13"/>
      <x:c r="E130" s="13"/>
      <x:c r="F130" s="13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13"/>
      <x:c r="B131" s="13"/>
      <x:c r="C131" s="13"/>
      <x:c r="D131" s="13"/>
      <x:c r="E131" s="13"/>
      <x:c r="F131" s="13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13"/>
      <x:c r="B132" s="13"/>
      <x:c r="C132" s="13"/>
      <x:c r="D132" s="13"/>
      <x:c r="E132" s="13"/>
      <x:c r="F132" s="13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13"/>
      <x:c r="B133" s="13"/>
      <x:c r="C133" s="13"/>
      <x:c r="D133" s="13"/>
      <x:c r="E133" s="13"/>
      <x:c r="F133" s="13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13"/>
      <x:c r="B134" s="13"/>
      <x:c r="C134" s="13"/>
      <x:c r="D134" s="13"/>
      <x:c r="E134" s="13"/>
      <x:c r="F134" s="13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13"/>
      <x:c r="B135" s="13"/>
      <x:c r="C135" s="13"/>
      <x:c r="D135" s="13"/>
      <x:c r="E135" s="13"/>
      <x:c r="F135" s="13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13"/>
      <x:c r="B136" s="13"/>
      <x:c r="C136" s="13"/>
      <x:c r="D136" s="13"/>
      <x:c r="E136" s="13"/>
      <x:c r="F136" s="13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13"/>
      <x:c r="B137" s="13"/>
      <x:c r="C137" s="13"/>
      <x:c r="D137" s="13"/>
      <x:c r="E137" s="13"/>
      <x:c r="F137" s="13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13"/>
      <x:c r="B138" s="13"/>
      <x:c r="C138" s="13"/>
      <x:c r="D138" s="13"/>
      <x:c r="E138" s="13"/>
      <x:c r="F138" s="13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13"/>
      <x:c r="B139" s="13"/>
      <x:c r="C139" s="13"/>
      <x:c r="D139" s="13"/>
      <x:c r="E139" s="13"/>
      <x:c r="F139" s="13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13"/>
      <x:c r="B140" s="13"/>
      <x:c r="C140" s="13"/>
      <x:c r="D140" s="13"/>
      <x:c r="E140" s="13"/>
      <x:c r="F140" s="13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13"/>
      <x:c r="B141" s="13"/>
      <x:c r="C141" s="13"/>
      <x:c r="D141" s="13"/>
      <x:c r="E141" s="13"/>
      <x:c r="F141" s="13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13"/>
      <x:c r="B142" s="13"/>
      <x:c r="C142" s="13"/>
      <x:c r="D142" s="13"/>
      <x:c r="E142" s="13"/>
      <x:c r="F142" s="13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13"/>
      <x:c r="B143" s="13"/>
      <x:c r="C143" s="13"/>
      <x:c r="D143" s="13"/>
      <x:c r="E143" s="13"/>
      <x:c r="F143" s="13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13"/>
      <x:c r="B144" s="13"/>
      <x:c r="C144" s="13"/>
      <x:c r="D144" s="13"/>
      <x:c r="E144" s="13"/>
      <x:c r="F144" s="13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13"/>
      <x:c r="B145" s="13"/>
      <x:c r="C145" s="13"/>
      <x:c r="D145" s="13"/>
      <x:c r="E145" s="13"/>
      <x:c r="F145" s="13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13"/>
      <x:c r="B146" s="13"/>
      <x:c r="C146" s="13"/>
      <x:c r="D146" s="13"/>
      <x:c r="E146" s="13"/>
      <x:c r="F146" s="13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13"/>
      <x:c r="B147" s="13"/>
      <x:c r="C147" s="13"/>
      <x:c r="D147" s="13"/>
      <x:c r="E147" s="13"/>
      <x:c r="F147" s="13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13"/>
      <x:c r="B148" s="13"/>
      <x:c r="C148" s="13"/>
      <x:c r="D148" s="13"/>
      <x:c r="E148" s="13"/>
      <x:c r="F148" s="13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13"/>
      <x:c r="B149" s="13"/>
      <x:c r="C149" s="13"/>
      <x:c r="D149" s="13"/>
      <x:c r="E149" s="13"/>
      <x:c r="F149" s="13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13"/>
      <x:c r="B150" s="13"/>
      <x:c r="C150" s="13"/>
      <x:c r="D150" s="13"/>
      <x:c r="E150" s="13"/>
      <x:c r="F150" s="13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13"/>
      <x:c r="B151" s="13"/>
      <x:c r="C151" s="13"/>
      <x:c r="D151" s="13"/>
      <x:c r="E151" s="13"/>
      <x:c r="F151" s="13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13"/>
      <x:c r="B152" s="13"/>
      <x:c r="C152" s="13"/>
      <x:c r="D152" s="13"/>
      <x:c r="E152" s="13"/>
      <x:c r="F152" s="13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13"/>
      <x:c r="B153" s="13"/>
      <x:c r="C153" s="13"/>
      <x:c r="D153" s="13"/>
      <x:c r="E153" s="13"/>
      <x:c r="F153" s="13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13"/>
      <x:c r="B154" s="13"/>
      <x:c r="C154" s="13"/>
      <x:c r="D154" s="13"/>
      <x:c r="E154" s="13"/>
      <x:c r="F154" s="13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13"/>
      <x:c r="B155" s="13"/>
      <x:c r="C155" s="13"/>
      <x:c r="D155" s="13"/>
      <x:c r="E155" s="13"/>
      <x:c r="F155" s="13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13"/>
      <x:c r="B156" s="13"/>
      <x:c r="C156" s="13"/>
      <x:c r="D156" s="13"/>
      <x:c r="E156" s="13"/>
      <x:c r="F156" s="13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13"/>
      <x:c r="B157" s="13"/>
      <x:c r="C157" s="13"/>
      <x:c r="D157" s="13"/>
      <x:c r="E157" s="13"/>
      <x:c r="F157" s="13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13"/>
      <x:c r="B158" s="13"/>
      <x:c r="C158" s="13"/>
      <x:c r="D158" s="13"/>
      <x:c r="E158" s="13"/>
      <x:c r="F158" s="13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13"/>
      <x:c r="B159" s="13"/>
      <x:c r="C159" s="13"/>
      <x:c r="D159" s="13"/>
      <x:c r="E159" s="13"/>
      <x:c r="F159" s="13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13"/>
      <x:c r="B160" s="13"/>
      <x:c r="C160" s="13"/>
      <x:c r="D160" s="13"/>
      <x:c r="E160" s="13"/>
      <x:c r="F160" s="13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13"/>
      <x:c r="B161" s="13"/>
      <x:c r="C161" s="13"/>
      <x:c r="D161" s="13"/>
      <x:c r="E161" s="13"/>
      <x:c r="F161" s="13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13"/>
      <x:c r="B162" s="13"/>
      <x:c r="C162" s="13"/>
      <x:c r="D162" s="13"/>
      <x:c r="E162" s="13"/>
      <x:c r="F162" s="13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13"/>
      <x:c r="B163" s="13"/>
      <x:c r="C163" s="13"/>
      <x:c r="D163" s="13"/>
      <x:c r="E163" s="13"/>
      <x:c r="F163" s="13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13"/>
      <x:c r="B164" s="13"/>
      <x:c r="C164" s="13"/>
      <x:c r="D164" s="13"/>
      <x:c r="E164" s="13"/>
      <x:c r="F164" s="13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13"/>
      <x:c r="B165" s="13"/>
      <x:c r="C165" s="13"/>
      <x:c r="D165" s="13"/>
      <x:c r="E165" s="13"/>
      <x:c r="F165" s="13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13"/>
      <x:c r="B166" s="13"/>
      <x:c r="C166" s="13"/>
      <x:c r="D166" s="13"/>
      <x:c r="E166" s="13"/>
      <x:c r="F166" s="13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13"/>
      <x:c r="B167" s="13"/>
      <x:c r="C167" s="13"/>
      <x:c r="D167" s="13"/>
      <x:c r="E167" s="13"/>
      <x:c r="F167" s="13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13"/>
      <x:c r="B168" s="13"/>
      <x:c r="C168" s="13"/>
      <x:c r="D168" s="13"/>
      <x:c r="E168" s="13"/>
      <x:c r="F168" s="13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13"/>
      <x:c r="B169" s="13"/>
      <x:c r="C169" s="13"/>
      <x:c r="D169" s="13"/>
      <x:c r="E169" s="13"/>
      <x:c r="F169" s="13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13"/>
      <x:c r="B170" s="13"/>
      <x:c r="C170" s="13"/>
      <x:c r="D170" s="13"/>
      <x:c r="E170" s="13"/>
      <x:c r="F170" s="13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13"/>
      <x:c r="B171" s="13"/>
      <x:c r="C171" s="13"/>
      <x:c r="D171" s="13"/>
      <x:c r="E171" s="13"/>
      <x:c r="F171" s="13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13"/>
      <x:c r="B172" s="13"/>
      <x:c r="C172" s="13"/>
      <x:c r="D172" s="13"/>
      <x:c r="E172" s="13"/>
      <x:c r="F172" s="13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13"/>
      <x:c r="B173" s="13"/>
      <x:c r="C173" s="13"/>
      <x:c r="D173" s="13"/>
      <x:c r="E173" s="13"/>
      <x:c r="F173" s="13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13"/>
      <x:c r="B174" s="13"/>
      <x:c r="C174" s="13"/>
      <x:c r="D174" s="13"/>
      <x:c r="E174" s="13"/>
      <x:c r="F174" s="13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13"/>
      <x:c r="B175" s="13"/>
      <x:c r="C175" s="13"/>
      <x:c r="D175" s="13"/>
      <x:c r="E175" s="13"/>
      <x:c r="F175" s="13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13"/>
      <x:c r="B176" s="13"/>
      <x:c r="C176" s="13"/>
      <x:c r="D176" s="13"/>
      <x:c r="E176" s="13"/>
      <x:c r="F176" s="13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13"/>
      <x:c r="B177" s="13"/>
      <x:c r="C177" s="13"/>
      <x:c r="D177" s="13"/>
      <x:c r="E177" s="13"/>
      <x:c r="F177" s="13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13"/>
      <x:c r="B178" s="13"/>
      <x:c r="C178" s="13"/>
      <x:c r="D178" s="13"/>
      <x:c r="E178" s="13"/>
      <x:c r="F178" s="13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13"/>
      <x:c r="B179" s="13"/>
      <x:c r="C179" s="13"/>
      <x:c r="D179" s="13"/>
      <x:c r="E179" s="13"/>
      <x:c r="F179" s="13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13"/>
      <x:c r="B180" s="13"/>
      <x:c r="C180" s="13"/>
      <x:c r="D180" s="13"/>
      <x:c r="E180" s="13"/>
      <x:c r="F180" s="13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13"/>
      <x:c r="B181" s="13"/>
      <x:c r="C181" s="13"/>
      <x:c r="D181" s="13"/>
      <x:c r="E181" s="13"/>
      <x:c r="F181" s="13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13"/>
      <x:c r="B182" s="13"/>
      <x:c r="C182" s="13"/>
      <x:c r="D182" s="13"/>
      <x:c r="E182" s="13"/>
      <x:c r="F182" s="13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13"/>
      <x:c r="B183" s="13"/>
      <x:c r="C183" s="13"/>
      <x:c r="D183" s="13"/>
      <x:c r="E183" s="13"/>
      <x:c r="F183" s="13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13"/>
      <x:c r="B184" s="13"/>
      <x:c r="C184" s="13"/>
      <x:c r="D184" s="13"/>
      <x:c r="E184" s="13"/>
      <x:c r="F184" s="13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13"/>
      <x:c r="B185" s="13"/>
      <x:c r="C185" s="13"/>
      <x:c r="D185" s="13"/>
      <x:c r="E185" s="13"/>
      <x:c r="F185" s="13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13"/>
      <x:c r="B186" s="13"/>
      <x:c r="C186" s="13"/>
      <x:c r="D186" s="13"/>
      <x:c r="E186" s="13"/>
      <x:c r="F186" s="13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13"/>
      <x:c r="B187" s="13"/>
      <x:c r="C187" s="13"/>
      <x:c r="D187" s="13"/>
      <x:c r="E187" s="13"/>
      <x:c r="F187" s="13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13"/>
      <x:c r="B188" s="13"/>
      <x:c r="C188" s="13"/>
      <x:c r="D188" s="13"/>
      <x:c r="E188" s="13"/>
      <x:c r="F188" s="13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13"/>
      <x:c r="B189" s="13"/>
      <x:c r="C189" s="13"/>
      <x:c r="D189" s="13"/>
      <x:c r="E189" s="13"/>
      <x:c r="F189" s="13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13"/>
      <x:c r="B190" s="13"/>
      <x:c r="C190" s="13"/>
      <x:c r="D190" s="13"/>
      <x:c r="E190" s="13"/>
      <x:c r="F190" s="13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13"/>
      <x:c r="B191" s="13"/>
      <x:c r="C191" s="13"/>
      <x:c r="D191" s="13"/>
      <x:c r="E191" s="13"/>
      <x:c r="F191" s="13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13"/>
      <x:c r="B192" s="13"/>
      <x:c r="C192" s="13"/>
      <x:c r="D192" s="13"/>
      <x:c r="E192" s="13"/>
      <x:c r="F192" s="13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13"/>
      <x:c r="B193" s="13"/>
      <x:c r="C193" s="13"/>
      <x:c r="D193" s="13"/>
      <x:c r="E193" s="13"/>
      <x:c r="F193" s="13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13"/>
      <x:c r="B194" s="13"/>
      <x:c r="C194" s="13"/>
      <x:c r="D194" s="13"/>
      <x:c r="E194" s="13"/>
      <x:c r="F194" s="13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13"/>
      <x:c r="B195" s="13"/>
      <x:c r="C195" s="13"/>
      <x:c r="D195" s="13"/>
      <x:c r="E195" s="13"/>
      <x:c r="F195" s="13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13"/>
      <x:c r="B196" s="13"/>
      <x:c r="C196" s="13"/>
      <x:c r="D196" s="13"/>
      <x:c r="E196" s="13"/>
      <x:c r="F196" s="13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13"/>
      <x:c r="B197" s="13"/>
      <x:c r="C197" s="13"/>
      <x:c r="D197" s="13"/>
      <x:c r="E197" s="13"/>
      <x:c r="F197" s="13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13"/>
      <x:c r="B198" s="13"/>
      <x:c r="C198" s="13"/>
      <x:c r="D198" s="13"/>
      <x:c r="E198" s="13"/>
      <x:c r="F198" s="13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13"/>
      <x:c r="B199" s="13"/>
      <x:c r="C199" s="13"/>
      <x:c r="D199" s="13"/>
      <x:c r="E199" s="13"/>
      <x:c r="F199" s="13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13"/>
      <x:c r="B200" s="13"/>
      <x:c r="C200" s="13"/>
      <x:c r="D200" s="13"/>
      <x:c r="E200" s="13"/>
      <x:c r="F200" s="13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13"/>
      <x:c r="B201" s="13"/>
      <x:c r="C201" s="13"/>
      <x:c r="D201" s="13"/>
      <x:c r="E201" s="13"/>
      <x:c r="F201" s="13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13"/>
      <x:c r="B202" s="13"/>
      <x:c r="C202" s="13"/>
      <x:c r="D202" s="13"/>
      <x:c r="E202" s="13"/>
      <x:c r="F202" s="13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13"/>
      <x:c r="B203" s="13"/>
      <x:c r="C203" s="13"/>
      <x:c r="D203" s="13"/>
      <x:c r="E203" s="13"/>
      <x:c r="F203" s="13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13"/>
      <x:c r="B204" s="13"/>
      <x:c r="C204" s="13"/>
      <x:c r="D204" s="13"/>
      <x:c r="E204" s="13"/>
      <x:c r="F204" s="13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13"/>
      <x:c r="B205" s="13"/>
      <x:c r="C205" s="13"/>
      <x:c r="D205" s="13"/>
      <x:c r="E205" s="13"/>
      <x:c r="F205" s="13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13"/>
      <x:c r="B206" s="13"/>
      <x:c r="C206" s="13"/>
      <x:c r="D206" s="13"/>
      <x:c r="E206" s="13"/>
      <x:c r="F206" s="13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13"/>
      <x:c r="B207" s="13"/>
      <x:c r="C207" s="13"/>
      <x:c r="D207" s="13"/>
      <x:c r="E207" s="13"/>
      <x:c r="F207" s="13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13"/>
      <x:c r="B208" s="13"/>
      <x:c r="C208" s="13"/>
      <x:c r="D208" s="13"/>
      <x:c r="E208" s="13"/>
      <x:c r="F208" s="13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13"/>
      <x:c r="B209" s="13"/>
      <x:c r="C209" s="13"/>
      <x:c r="D209" s="13"/>
      <x:c r="E209" s="13"/>
      <x:c r="F209" s="13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13"/>
      <x:c r="B210" s="13"/>
      <x:c r="C210" s="13"/>
      <x:c r="D210" s="13"/>
      <x:c r="E210" s="13"/>
      <x:c r="F210" s="13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13"/>
      <x:c r="B211" s="13"/>
      <x:c r="C211" s="13"/>
      <x:c r="D211" s="13"/>
      <x:c r="E211" s="13"/>
      <x:c r="F211" s="13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13"/>
      <x:c r="B212" s="13"/>
      <x:c r="C212" s="13"/>
      <x:c r="D212" s="13"/>
      <x:c r="E212" s="13"/>
      <x:c r="F212" s="13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13"/>
      <x:c r="B213" s="13"/>
      <x:c r="C213" s="13"/>
      <x:c r="D213" s="13"/>
      <x:c r="E213" s="13"/>
      <x:c r="F213" s="13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13"/>
      <x:c r="B214" s="13"/>
      <x:c r="C214" s="13"/>
      <x:c r="D214" s="13"/>
      <x:c r="E214" s="13"/>
      <x:c r="F214" s="13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13"/>
      <x:c r="B215" s="13"/>
      <x:c r="C215" s="13"/>
      <x:c r="D215" s="13"/>
      <x:c r="E215" s="13"/>
      <x:c r="F215" s="13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13"/>
      <x:c r="B216" s="13"/>
      <x:c r="C216" s="13"/>
      <x:c r="D216" s="13"/>
      <x:c r="E216" s="13"/>
      <x:c r="F216" s="13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13"/>
      <x:c r="B217" s="13"/>
      <x:c r="C217" s="13"/>
      <x:c r="D217" s="13"/>
      <x:c r="E217" s="13"/>
      <x:c r="F217" s="13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13"/>
      <x:c r="B218" s="13"/>
      <x:c r="C218" s="13"/>
      <x:c r="D218" s="13"/>
      <x:c r="E218" s="13"/>
      <x:c r="F218" s="13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13"/>
      <x:c r="B219" s="13"/>
      <x:c r="C219" s="13"/>
      <x:c r="D219" s="13"/>
      <x:c r="E219" s="13"/>
      <x:c r="F219" s="13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13"/>
      <x:c r="B220" s="13"/>
      <x:c r="C220" s="13"/>
      <x:c r="D220" s="13"/>
      <x:c r="E220" s="13"/>
      <x:c r="F220" s="13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13"/>
      <x:c r="B221" s="13"/>
      <x:c r="C221" s="13"/>
      <x:c r="D221" s="13"/>
      <x:c r="E221" s="13"/>
      <x:c r="F221" s="13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13"/>
      <x:c r="B222" s="13"/>
      <x:c r="C222" s="13"/>
      <x:c r="D222" s="13"/>
      <x:c r="E222" s="13"/>
      <x:c r="F222" s="13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13"/>
      <x:c r="B223" s="13"/>
      <x:c r="C223" s="13"/>
      <x:c r="D223" s="13"/>
      <x:c r="E223" s="13"/>
      <x:c r="F223" s="13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13"/>
      <x:c r="B224" s="13"/>
      <x:c r="C224" s="13"/>
      <x:c r="D224" s="13"/>
      <x:c r="E224" s="13"/>
      <x:c r="F224" s="13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13"/>
      <x:c r="B225" s="13"/>
      <x:c r="C225" s="13"/>
      <x:c r="D225" s="13"/>
      <x:c r="E225" s="13"/>
      <x:c r="F225" s="13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13"/>
      <x:c r="B226" s="13"/>
      <x:c r="C226" s="13"/>
      <x:c r="D226" s="13"/>
      <x:c r="E226" s="13"/>
      <x:c r="F226" s="13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13"/>
      <x:c r="B227" s="13"/>
      <x:c r="C227" s="13"/>
      <x:c r="D227" s="13"/>
      <x:c r="E227" s="13"/>
      <x:c r="F227" s="13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13"/>
      <x:c r="B228" s="13"/>
      <x:c r="C228" s="13"/>
      <x:c r="D228" s="13"/>
      <x:c r="E228" s="13"/>
      <x:c r="F228" s="13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13"/>
      <x:c r="B229" s="13"/>
      <x:c r="C229" s="13"/>
      <x:c r="D229" s="13"/>
      <x:c r="E229" s="13"/>
      <x:c r="F229" s="13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13"/>
      <x:c r="B230" s="13"/>
      <x:c r="C230" s="13"/>
      <x:c r="D230" s="13"/>
      <x:c r="E230" s="13"/>
      <x:c r="F230" s="13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13"/>
      <x:c r="B231" s="13"/>
      <x:c r="C231" s="13"/>
      <x:c r="D231" s="13"/>
      <x:c r="E231" s="13"/>
      <x:c r="F231" s="13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13"/>
      <x:c r="B232" s="13"/>
      <x:c r="C232" s="13"/>
      <x:c r="D232" s="13"/>
      <x:c r="E232" s="13"/>
      <x:c r="F232" s="13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13"/>
      <x:c r="B233" s="13"/>
      <x:c r="C233" s="13"/>
      <x:c r="D233" s="13"/>
      <x:c r="E233" s="13"/>
      <x:c r="F233" s="13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13"/>
      <x:c r="B234" s="13"/>
      <x:c r="C234" s="13"/>
      <x:c r="D234" s="13"/>
      <x:c r="E234" s="13"/>
      <x:c r="F234" s="13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13"/>
      <x:c r="B235" s="13"/>
      <x:c r="C235" s="13"/>
      <x:c r="D235" s="13"/>
      <x:c r="E235" s="13"/>
      <x:c r="F235" s="13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13"/>
      <x:c r="B236" s="13"/>
      <x:c r="C236" s="13"/>
      <x:c r="D236" s="13"/>
      <x:c r="E236" s="13"/>
      <x:c r="F236" s="13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13"/>
      <x:c r="B237" s="13"/>
      <x:c r="C237" s="13"/>
      <x:c r="D237" s="13"/>
      <x:c r="E237" s="13"/>
      <x:c r="F237" s="13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13"/>
      <x:c r="B238" s="13"/>
      <x:c r="C238" s="13"/>
      <x:c r="D238" s="13"/>
      <x:c r="E238" s="13"/>
      <x:c r="F238" s="13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13"/>
      <x:c r="B239" s="13"/>
      <x:c r="C239" s="13"/>
      <x:c r="D239" s="13"/>
      <x:c r="E239" s="13"/>
      <x:c r="F239" s="13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13"/>
      <x:c r="B240" s="13"/>
      <x:c r="C240" s="13"/>
      <x:c r="D240" s="13"/>
      <x:c r="E240" s="13"/>
      <x:c r="F240" s="13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13"/>
      <x:c r="B241" s="13"/>
      <x:c r="C241" s="13"/>
      <x:c r="D241" s="13"/>
      <x:c r="E241" s="13"/>
      <x:c r="F241" s="13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13"/>
      <x:c r="B242" s="13"/>
      <x:c r="C242" s="13"/>
      <x:c r="D242" s="13"/>
      <x:c r="E242" s="13"/>
      <x:c r="F242" s="13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13"/>
      <x:c r="B243" s="13"/>
      <x:c r="C243" s="13"/>
      <x:c r="D243" s="13"/>
      <x:c r="E243" s="13"/>
      <x:c r="F243" s="13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13"/>
      <x:c r="B244" s="13"/>
      <x:c r="C244" s="13"/>
      <x:c r="D244" s="13"/>
      <x:c r="E244" s="13"/>
      <x:c r="F244" s="13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13"/>
      <x:c r="B245" s="13"/>
      <x:c r="C245" s="13"/>
      <x:c r="D245" s="13"/>
      <x:c r="E245" s="13"/>
      <x:c r="F245" s="13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13"/>
      <x:c r="B246" s="13"/>
      <x:c r="C246" s="13"/>
      <x:c r="D246" s="13"/>
      <x:c r="E246" s="13"/>
      <x:c r="F246" s="13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13"/>
      <x:c r="B247" s="13"/>
      <x:c r="C247" s="13"/>
      <x:c r="D247" s="13"/>
      <x:c r="E247" s="13"/>
      <x:c r="F247" s="13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13"/>
      <x:c r="B248" s="13"/>
      <x:c r="C248" s="13"/>
      <x:c r="D248" s="13"/>
      <x:c r="E248" s="13"/>
      <x:c r="F248" s="13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13"/>
      <x:c r="B249" s="13"/>
      <x:c r="C249" s="13"/>
      <x:c r="D249" s="13"/>
      <x:c r="E249" s="13"/>
      <x:c r="F249" s="13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13"/>
      <x:c r="B250" s="13"/>
      <x:c r="C250" s="13"/>
      <x:c r="D250" s="13"/>
      <x:c r="E250" s="13"/>
      <x:c r="F250" s="13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13"/>
      <x:c r="B251" s="13"/>
      <x:c r="C251" s="13"/>
      <x:c r="D251" s="13"/>
      <x:c r="E251" s="13"/>
      <x:c r="F251" s="13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13"/>
      <x:c r="B252" s="13"/>
      <x:c r="C252" s="13"/>
      <x:c r="D252" s="13"/>
      <x:c r="E252" s="13"/>
      <x:c r="F252" s="13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13"/>
      <x:c r="B253" s="13"/>
      <x:c r="C253" s="13"/>
      <x:c r="D253" s="13"/>
      <x:c r="E253" s="13"/>
      <x:c r="F253" s="13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13"/>
      <x:c r="B254" s="13"/>
      <x:c r="C254" s="13"/>
      <x:c r="D254" s="13"/>
      <x:c r="E254" s="13"/>
      <x:c r="F254" s="13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13"/>
      <x:c r="B255" s="13"/>
      <x:c r="C255" s="13"/>
      <x:c r="D255" s="13"/>
      <x:c r="E255" s="13"/>
      <x:c r="F255" s="13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13"/>
      <x:c r="B256" s="13"/>
      <x:c r="C256" s="13"/>
      <x:c r="D256" s="13"/>
      <x:c r="E256" s="13"/>
      <x:c r="F256" s="13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13"/>
      <x:c r="B257" s="13"/>
      <x:c r="C257" s="13"/>
      <x:c r="D257" s="13"/>
      <x:c r="E257" s="13"/>
      <x:c r="F257" s="13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13"/>
      <x:c r="B258" s="13"/>
      <x:c r="C258" s="13"/>
      <x:c r="D258" s="13"/>
      <x:c r="E258" s="13"/>
      <x:c r="F258" s="13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13"/>
      <x:c r="B259" s="13"/>
      <x:c r="C259" s="13"/>
      <x:c r="D259" s="13"/>
      <x:c r="E259" s="13"/>
      <x:c r="F259" s="13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13"/>
      <x:c r="B260" s="13"/>
      <x:c r="C260" s="13"/>
      <x:c r="D260" s="13"/>
      <x:c r="E260" s="13"/>
      <x:c r="F260" s="13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13"/>
      <x:c r="B261" s="13"/>
      <x:c r="C261" s="13"/>
      <x:c r="D261" s="13"/>
      <x:c r="E261" s="13"/>
      <x:c r="F261" s="13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13"/>
      <x:c r="B262" s="13"/>
      <x:c r="C262" s="13"/>
      <x:c r="D262" s="13"/>
      <x:c r="E262" s="13"/>
      <x:c r="F262" s="13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13"/>
      <x:c r="B263" s="13"/>
      <x:c r="C263" s="13"/>
      <x:c r="D263" s="13"/>
      <x:c r="E263" s="13"/>
      <x:c r="F263" s="13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13"/>
      <x:c r="B264" s="13"/>
      <x:c r="C264" s="13"/>
      <x:c r="D264" s="13"/>
      <x:c r="E264" s="13"/>
      <x:c r="F264" s="13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13"/>
      <x:c r="B265" s="13"/>
      <x:c r="C265" s="13"/>
      <x:c r="D265" s="13"/>
      <x:c r="E265" s="13"/>
      <x:c r="F265" s="13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13"/>
      <x:c r="B266" s="13"/>
      <x:c r="C266" s="13"/>
      <x:c r="D266" s="13"/>
      <x:c r="E266" s="13"/>
      <x:c r="F266" s="13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13"/>
      <x:c r="B267" s="13"/>
      <x:c r="C267" s="13"/>
      <x:c r="D267" s="13"/>
      <x:c r="E267" s="13"/>
      <x:c r="F267" s="13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13"/>
      <x:c r="B268" s="13"/>
      <x:c r="C268" s="13"/>
      <x:c r="D268" s="13"/>
      <x:c r="E268" s="13"/>
      <x:c r="F268" s="13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13"/>
      <x:c r="B269" s="13"/>
      <x:c r="C269" s="13"/>
      <x:c r="D269" s="13"/>
      <x:c r="E269" s="13"/>
      <x:c r="F269" s="13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13"/>
      <x:c r="B270" s="13"/>
      <x:c r="C270" s="13"/>
      <x:c r="D270" s="13"/>
      <x:c r="E270" s="13"/>
      <x:c r="F270" s="13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13"/>
      <x:c r="B271" s="13"/>
      <x:c r="C271" s="13"/>
      <x:c r="D271" s="13"/>
      <x:c r="E271" s="13"/>
      <x:c r="F271" s="13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13"/>
      <x:c r="B272" s="13"/>
      <x:c r="C272" s="13"/>
      <x:c r="D272" s="13"/>
      <x:c r="E272" s="13"/>
      <x:c r="F272" s="13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13"/>
      <x:c r="B273" s="13"/>
      <x:c r="C273" s="13"/>
      <x:c r="D273" s="13"/>
      <x:c r="E273" s="13"/>
      <x:c r="F273" s="13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13"/>
      <x:c r="B274" s="13"/>
      <x:c r="C274" s="13"/>
      <x:c r="D274" s="13"/>
      <x:c r="E274" s="13"/>
      <x:c r="F274" s="13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13"/>
      <x:c r="B275" s="13"/>
      <x:c r="C275" s="13"/>
      <x:c r="D275" s="13"/>
      <x:c r="E275" s="13"/>
      <x:c r="F275" s="13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13"/>
      <x:c r="B276" s="13"/>
      <x:c r="C276" s="13"/>
      <x:c r="D276" s="13"/>
      <x:c r="E276" s="13"/>
      <x:c r="F276" s="13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13"/>
      <x:c r="B277" s="13"/>
      <x:c r="C277" s="13"/>
      <x:c r="D277" s="13"/>
      <x:c r="E277" s="13"/>
      <x:c r="F277" s="13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13"/>
      <x:c r="B278" s="13"/>
      <x:c r="C278" s="13"/>
      <x:c r="D278" s="13"/>
      <x:c r="E278" s="13"/>
      <x:c r="F278" s="13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13"/>
      <x:c r="B279" s="13"/>
      <x:c r="C279" s="13"/>
      <x:c r="D279" s="13"/>
      <x:c r="E279" s="13"/>
      <x:c r="F279" s="13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13"/>
      <x:c r="B280" s="13"/>
      <x:c r="C280" s="13"/>
      <x:c r="D280" s="13"/>
      <x:c r="E280" s="13"/>
      <x:c r="F280" s="13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13"/>
      <x:c r="B281" s="13"/>
      <x:c r="C281" s="13"/>
      <x:c r="D281" s="13"/>
      <x:c r="E281" s="13"/>
      <x:c r="F281" s="13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13"/>
      <x:c r="B282" s="13"/>
      <x:c r="C282" s="13"/>
      <x:c r="D282" s="13"/>
      <x:c r="E282" s="13"/>
      <x:c r="F282" s="13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13"/>
      <x:c r="B283" s="13"/>
      <x:c r="C283" s="13"/>
      <x:c r="D283" s="13"/>
      <x:c r="E283" s="13"/>
      <x:c r="F283" s="13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F1"/>
    <x:mergeCell ref="A2:F2"/>
    <x:mergeCell ref="A4:F4"/>
    <x:mergeCell ref="A12:F12"/>
    <x:mergeCell ref="A21:F21"/>
    <x:mergeCell ref="A36:F36"/>
    <x:mergeCell ref="A53:F53"/>
    <x:mergeCell ref="A59:F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B050"/>
  </x:sheetPr>
  <x:sheetFormatPr defaultColWidth="14.430000305175781" defaultRowHeight="15"/>
  <x:cols>
    <x:col min="1" max="1" width="7" customWidth="1"/>
    <x:col min="2" max="2" width="38.709999084472656" customWidth="1"/>
    <x:col min="3" max="3" width="28" customWidth="1"/>
    <x:col min="4" max="4" width="24" customWidth="1"/>
    <x:col min="5" max="5" width="28" customWidth="1"/>
    <x:col min="6" max="6" width="24" customWidth="1"/>
    <x:col min="7" max="7" width="12" customWidth="1"/>
    <x:col min="8" max="8" width="10" customWidth="1"/>
    <x:col min="9" max="9" width="30" customWidth="1"/>
    <x:col min="10" max="10" width="8" customWidth="1"/>
    <x:col min="11" max="12" width="14" customWidth="1"/>
    <x:col min="13" max="13" width="38" customWidth="1"/>
    <x:col min="14" max="14" width="14.569999694824219" customWidth="1"/>
  </x:cols>
  <x:sheetData>
    <x:row r="1" ht="27.75" customHeight="1">
      <x:c r="A1" s="22" t="s">
        <x:v>235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5" t="s">
        <x:v>236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3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7.75" customHeight="1">
      <x:c r="A3" s="6" t="s">
        <x:v>2</x:v>
      </x:c>
      <x:c r="B3" s="6" t="s">
        <x:v>237</x:v>
      </x:c>
      <x:c r="C3" s="6" t="s">
        <x:v>238</x:v>
      </x:c>
      <x:c r="D3" s="6" t="s">
        <x:v>239</x:v>
      </x:c>
      <x:c r="E3" s="6" t="s">
        <x:v>240</x:v>
      </x:c>
      <x:c r="F3" s="6" t="s">
        <x:v>241</x:v>
      </x:c>
      <x:c r="G3" s="6" t="s">
        <x:v>242</x:v>
      </x:c>
      <x:c r="H3" s="6" t="s">
        <x:v>243</x:v>
      </x:c>
      <x:c r="I3" s="6" t="s">
        <x:v>244</x:v>
      </x:c>
      <x:c r="J3" s="6" t="s">
        <x:v>245</x:v>
      </x:c>
      <x:c r="K3" s="6" t="s">
        <x:v>246</x:v>
      </x:c>
      <x:c r="L3" s="6" t="s">
        <x:v>247</x:v>
      </x:c>
      <x:c r="M3" s="6" t="s">
        <x:v>248</x:v>
      </x:c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23" t="s">
        <x:v>249</x:v>
      </x:c>
      <x:c r="B4" s="23" t="s">
        <x:v>250</x:v>
      </x:c>
      <x:c r="C4" s="23" t="s">
        <x:v>10</x:v>
      </x:c>
      <x:c r="D4" s="23" t="str">
        <x:f>IFERROR(IF('IP Input Sheet'!D5&lt;&gt;"",'IP Input Sheet'!D5,IF('IP Input Sheet'!E5&lt;&gt;"",'IP Input Sheet'!E5,'IP Input Sheet'!F5)),"[Enter IP]")</x:f>
        <x:v>10.5.25.86</x:v>
      </x:c>
      <x:c r="E4" s="23" t="s">
        <x:v>47</x:v>
      </x:c>
      <x:c r="F4" s="23" t="str">
        <x:f>IFERROR(IF('IP Input Sheet'!D16&lt;&gt;"",'IP Input Sheet'!D16,IF('IP Input Sheet'!E16&lt;&gt;"",'IP Input Sheet'!E16,'IP Input Sheet'!F16)),"[Enter IP]")</x:f>
        <x:v>10.3.118.30</x:v>
      </x:c>
      <x:c r="G4" s="23" t="s">
        <x:v>251</x:v>
      </x:c>
      <x:c r="H4" s="23" t="s">
        <x:v>252</x:v>
      </x:c>
      <x:c r="I4" s="23" t="s">
        <x:v>253</x:v>
      </x:c>
      <x:c r="J4" s="24" t="s">
        <x:v>254</x:v>
      </x:c>
      <x:c r="K4" s="25" t="s">
        <x:v>255</x:v>
      </x:c>
      <x:c r="L4" s="23" t="s">
        <x:v>256</x:v>
      </x:c>
      <x:c r="M4" s="23" t="s">
        <x:v>257</x:v>
      </x:c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26" t="s">
        <x:v>258</x:v>
      </x:c>
      <x:c r="B5" s="26" t="s">
        <x:v>259</x:v>
      </x:c>
      <x:c r="C5" s="26" t="s">
        <x:v>10</x:v>
      </x:c>
      <x:c r="D5" s="26" t="str">
        <x:f>IFERROR(IF('IP Input Sheet'!D5&lt;&gt;"",'IP Input Sheet'!D5,IF('IP Input Sheet'!E5&lt;&gt;"",'IP Input Sheet'!E5,'IP Input Sheet'!F5)),"[Enter IP]")</x:f>
        <x:v>10.5.25.86</x:v>
      </x:c>
      <x:c r="E5" s="26" t="s">
        <x:v>14</x:v>
      </x:c>
      <x:c r="F5" s="26" t="str">
        <x:f>IFERROR(IF('IP Input Sheet'!D6&lt;&gt;"",'IP Input Sheet'!D6,IF('IP Input Sheet'!E6&lt;&gt;"",'IP Input Sheet'!E6,'IP Input Sheet'!F6)),"[Enter IP]")</x:f>
        <x:v>10.5.25.64/26</x:v>
      </x:c>
      <x:c r="G5" s="26" t="s">
        <x:v>251</x:v>
      </x:c>
      <x:c r="H5" s="26" t="s">
        <x:v>252</x:v>
      </x:c>
      <x:c r="I5" s="26" t="s">
        <x:v>260</x:v>
      </x:c>
      <x:c r="J5" s="24" t="s">
        <x:v>254</x:v>
      </x:c>
      <x:c r="K5" s="25" t="s">
        <x:v>255</x:v>
      </x:c>
      <x:c r="L5" s="26" t="s">
        <x:v>256</x:v>
      </x:c>
      <x:c r="M5" s="26" t="s">
        <x:v>261</x:v>
      </x:c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23" t="s">
        <x:v>262</x:v>
      </x:c>
      <x:c r="B6" s="23" t="s">
        <x:v>263</x:v>
      </x:c>
      <x:c r="C6" s="23" t="s">
        <x:v>10</x:v>
      </x:c>
      <x:c r="D6" s="23" t="str">
        <x:f>IFERROR(IF('IP Input Sheet'!D5&lt;&gt;"",'IP Input Sheet'!D5,IF('IP Input Sheet'!E5&lt;&gt;"",'IP Input Sheet'!E5,'IP Input Sheet'!F5)),"[Enter IP]")</x:f>
        <x:v>10.5.25.86</x:v>
      </x:c>
      <x:c r="E6" s="23" t="s">
        <x:v>36</x:v>
      </x:c>
      <x:c r="F6" s="23" t="str">
        <x:f>IFERROR(IF('IP Input Sheet'!D13&lt;&gt;"",'IP Input Sheet'!D13,IF('IP Input Sheet'!E13&lt;&gt;"",'IP Input Sheet'!E13,'IP Input Sheet'!F13)),"[Enter IP]")</x:f>
        <x:v>10.3.118.18</x:v>
      </x:c>
      <x:c r="G6" s="23" t="s">
        <x:v>251</x:v>
      </x:c>
      <x:c r="H6" s="23" t="s">
        <x:v>252</x:v>
      </x:c>
      <x:c r="I6" s="23" t="s">
        <x:v>264</x:v>
      </x:c>
      <x:c r="J6" s="24" t="s">
        <x:v>254</x:v>
      </x:c>
      <x:c r="K6" s="25" t="s">
        <x:v>255</x:v>
      </x:c>
      <x:c r="L6" s="23" t="s">
        <x:v>256</x:v>
      </x:c>
      <x:c r="M6" s="23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26" t="s">
        <x:v>265</x:v>
      </x:c>
      <x:c r="B7" s="26" t="s">
        <x:v>266</x:v>
      </x:c>
      <x:c r="C7" s="26" t="s">
        <x:v>10</x:v>
      </x:c>
      <x:c r="D7" s="26" t="str">
        <x:f>IFERROR(IF('IP Input Sheet'!D5&lt;&gt;"",'IP Input Sheet'!D5,IF('IP Input Sheet'!E5&lt;&gt;"",'IP Input Sheet'!E5,'IP Input Sheet'!F5)),"[Enter IP]")</x:f>
        <x:v>10.5.25.86</x:v>
      </x:c>
      <x:c r="E7" s="26" t="s">
        <x:v>267</x:v>
      </x:c>
      <x:c r="F7" s="26" t="str">
        <x:f>IFERROR(IF('IP Input Sheet'!D14&lt;&gt;"",'IP Input Sheet'!D14,IF('IP Input Sheet'!E14&lt;&gt;"",'IP Input Sheet'!E14,'IP Input Sheet'!F14)),"[Enter IP]")</x:f>
        <x:v>10.3.118.0/24</x:v>
      </x:c>
      <x:c r="G7" s="26" t="s">
        <x:v>251</x:v>
      </x:c>
      <x:c r="H7" s="26" t="s">
        <x:v>252</x:v>
      </x:c>
      <x:c r="I7" s="26" t="s">
        <x:v>268</x:v>
      </x:c>
      <x:c r="J7" s="24" t="s">
        <x:v>254</x:v>
      </x:c>
      <x:c r="K7" s="25" t="s">
        <x:v>255</x:v>
      </x:c>
      <x:c r="L7" s="26" t="s">
        <x:v>256</x:v>
      </x:c>
      <x:c r="M7" s="26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23" t="s">
        <x:v>269</x:v>
      </x:c>
      <x:c r="B8" s="23" t="s">
        <x:v>270</x:v>
      </x:c>
      <x:c r="C8" s="23" t="s">
        <x:v>10</x:v>
      </x:c>
      <x:c r="D8" s="23" t="str">
        <x:f>IFERROR(IF('IP Input Sheet'!D5&lt;&gt;"",'IP Input Sheet'!D5,IF('IP Input Sheet'!E5&lt;&gt;"",'IP Input Sheet'!E5,'IP Input Sheet'!F5)),"[Enter IP]")</x:f>
        <x:v>10.5.25.86</x:v>
      </x:c>
      <x:c r="E8" s="23" t="s">
        <x:v>203</x:v>
      </x:c>
      <x:c r="F8" s="23" t="n">
        <x:f>'IP Input Sheet'!D60</x:f>
        <x:v>0</x:v>
      </x:c>
      <x:c r="G8" s="23" t="s">
        <x:v>271</x:v>
      </x:c>
      <x:c r="H8" s="23" t="s">
        <x:v>272</x:v>
      </x:c>
      <x:c r="I8" s="23" t="s">
        <x:v>273</x:v>
      </x:c>
      <x:c r="J8" s="24" t="s">
        <x:v>254</x:v>
      </x:c>
      <x:c r="K8" s="25" t="s">
        <x:v>255</x:v>
      </x:c>
      <x:c r="L8" s="23" t="s">
        <x:v>261</x:v>
      </x:c>
      <x:c r="M8" s="23" t="s">
        <x:v>274</x:v>
      </x:c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26" t="s">
        <x:v>275</x:v>
      </x:c>
      <x:c r="B9" s="26" t="s">
        <x:v>276</x:v>
      </x:c>
      <x:c r="C9" s="26" t="s">
        <x:v>10</x:v>
      </x:c>
      <x:c r="D9" s="26" t="str">
        <x:f>IFERROR(IF('IP Input Sheet'!D5&lt;&gt;"",'IP Input Sheet'!D5,IF('IP Input Sheet'!E5&lt;&gt;"",'IP Input Sheet'!E5,'IP Input Sheet'!F5)),"[Enter IP]")</x:f>
        <x:v>10.5.25.86</x:v>
      </x:c>
      <x:c r="E9" s="26" t="s">
        <x:v>207</x:v>
      </x:c>
      <x:c r="F9" s="26" t="n">
        <x:f>'IP Input Sheet'!D61</x:f>
        <x:v>0</x:v>
      </x:c>
      <x:c r="G9" s="26" t="s">
        <x:v>277</x:v>
      </x:c>
      <x:c r="H9" s="26" t="s">
        <x:v>278</x:v>
      </x:c>
      <x:c r="I9" s="26" t="s">
        <x:v>279</x:v>
      </x:c>
      <x:c r="J9" s="24" t="s">
        <x:v>254</x:v>
      </x:c>
      <x:c r="K9" s="25" t="s">
        <x:v>255</x:v>
      </x:c>
      <x:c r="L9" s="26" t="s">
        <x:v>256</x:v>
      </x:c>
      <x:c r="M9" s="26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23" t="s">
        <x:v>280</x:v>
      </x:c>
      <x:c r="B10" s="23" t="s">
        <x:v>281</x:v>
      </x:c>
      <x:c r="C10" s="23" t="s">
        <x:v>10</x:v>
      </x:c>
      <x:c r="D10" s="23" t="str">
        <x:f>IFERROR(IF('IP Input Sheet'!D5&lt;&gt;"",'IP Input Sheet'!D5,IF('IP Input Sheet'!E5&lt;&gt;"",'IP Input Sheet'!E5,'IP Input Sheet'!F5)),"[Enter IP]")</x:f>
        <x:v>10.5.25.86</x:v>
      </x:c>
      <x:c r="E10" s="23" t="s">
        <x:v>282</x:v>
      </x:c>
      <x:c r="F10" s="23" t="str">
        <x:f>IFERROR(IF('IP Input Sheet'!D54&lt;&gt;"",'IP Input Sheet'!D54,IF('IP Input Sheet'!E54&lt;&gt;"",'IP Input Sheet'!E54,'IP Input Sheet'!F54)),"[Enter IP]")</x:f>
        <x:v>10.3.118.0/24</x:v>
      </x:c>
      <x:c r="G10" s="23" t="s">
        <x:v>251</x:v>
      </x:c>
      <x:c r="H10" s="23" t="s">
        <x:v>252</x:v>
      </x:c>
      <x:c r="I10" s="23" t="s">
        <x:v>283</x:v>
      </x:c>
      <x:c r="J10" s="24" t="s">
        <x:v>254</x:v>
      </x:c>
      <x:c r="K10" s="25" t="s">
        <x:v>255</x:v>
      </x:c>
      <x:c r="L10" s="23" t="s">
        <x:v>256</x:v>
      </x:c>
      <x:c r="M10" s="23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26" t="s">
        <x:v>284</x:v>
      </x:c>
      <x:c r="B11" s="26" t="s">
        <x:v>285</x:v>
      </x:c>
      <x:c r="C11" s="26" t="s">
        <x:v>10</x:v>
      </x:c>
      <x:c r="D11" s="26" t="str">
        <x:f>IFERROR(IF('IP Input Sheet'!D5&lt;&gt;"",'IP Input Sheet'!D5,IF('IP Input Sheet'!E5&lt;&gt;"",'IP Input Sheet'!E5,'IP Input Sheet'!F5)),"[Enter IP]")</x:f>
        <x:v>10.5.25.86</x:v>
      </x:c>
      <x:c r="E11" s="26" t="s">
        <x:v>286</x:v>
      </x:c>
      <x:c r="F11" s="26" t="str">
        <x:f>IFERROR(IF('IP Input Sheet'!D7&lt;&gt;"",'IP Input Sheet'!D7,IF('IP Input Sheet'!E7&lt;&gt;"",'IP Input Sheet'!E7,'IP Input Sheet'!F7)),"[Enter IP]")</x:f>
        <x:v>10.5.25.64/26</x:v>
      </x:c>
      <x:c r="G11" s="26" t="s">
        <x:v>287</x:v>
      </x:c>
      <x:c r="H11" s="26" t="s">
        <x:v>252</x:v>
      </x:c>
      <x:c r="I11" s="26" t="s">
        <x:v>288</x:v>
      </x:c>
      <x:c r="J11" s="24" t="s">
        <x:v>254</x:v>
      </x:c>
      <x:c r="K11" s="25" t="s">
        <x:v>255</x:v>
      </x:c>
      <x:c r="L11" s="26" t="s">
        <x:v>256</x:v>
      </x:c>
      <x:c r="M11" s="26" t="s">
        <x:v>289</x:v>
      </x:c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23" t="s">
        <x:v>290</x:v>
      </x:c>
      <x:c r="B12" s="23" t="s">
        <x:v>291</x:v>
      </x:c>
      <x:c r="C12" s="23" t="s">
        <x:v>10</x:v>
      </x:c>
      <x:c r="D12" s="23" t="str">
        <x:f>IFERROR(IF('IP Input Sheet'!D5&lt;&gt;"",'IP Input Sheet'!D5,IF('IP Input Sheet'!E5&lt;&gt;"",'IP Input Sheet'!E5,'IP Input Sheet'!F5)),"[Enter IP]")</x:f>
        <x:v>10.5.25.86</x:v>
      </x:c>
      <x:c r="E12" s="23" t="s">
        <x:v>292</x:v>
      </x:c>
      <x:c r="F12" s="23" t="str">
        <x:f>IFERROR(IF('IP Input Sheet'!D7&lt;&gt;"",'IP Input Sheet'!D7,IF('IP Input Sheet'!E7&lt;&gt;"",'IP Input Sheet'!E7,'IP Input Sheet'!F7)),"[Enter IP]")</x:f>
        <x:v>10.5.25.64/26</x:v>
      </x:c>
      <x:c r="G12" s="23" t="s">
        <x:v>293</x:v>
      </x:c>
      <x:c r="H12" s="23" t="s">
        <x:v>252</x:v>
      </x:c>
      <x:c r="I12" s="23" t="s">
        <x:v>294</x:v>
      </x:c>
      <x:c r="J12" s="24" t="s">
        <x:v>254</x:v>
      </x:c>
      <x:c r="K12" s="25" t="s">
        <x:v>255</x:v>
      </x:c>
      <x:c r="L12" s="23" t="s">
        <x:v>256</x:v>
      </x:c>
      <x:c r="M12" s="23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26" t="s">
        <x:v>295</x:v>
      </x:c>
      <x:c r="B13" s="26" t="s">
        <x:v>296</x:v>
      </x:c>
      <x:c r="C13" s="26" t="s">
        <x:v>10</x:v>
      </x:c>
      <x:c r="D13" s="26" t="str">
        <x:f>IFERROR(IF('IP Input Sheet'!D5&lt;&gt;"",'IP Input Sheet'!D5,IF('IP Input Sheet'!E5&lt;&gt;"",'IP Input Sheet'!E5,'IP Input Sheet'!F5)),"[Enter IP]")</x:f>
        <x:v>10.5.25.86</x:v>
      </x:c>
      <x:c r="E13" s="26" t="s">
        <x:v>292</x:v>
      </x:c>
      <x:c r="F13" s="26" t="str">
        <x:f>IFERROR(IF('IP Input Sheet'!D7&lt;&gt;"",'IP Input Sheet'!D7,IF('IP Input Sheet'!E7&lt;&gt;"",'IP Input Sheet'!E7,'IP Input Sheet'!F7)),"[Enter IP]")</x:f>
        <x:v>10.5.25.64/26</x:v>
      </x:c>
      <x:c r="G13" s="26" t="s">
        <x:v>297</x:v>
      </x:c>
      <x:c r="H13" s="26" t="s">
        <x:v>252</x:v>
      </x:c>
      <x:c r="I13" s="26" t="s">
        <x:v>298</x:v>
      </x:c>
      <x:c r="J13" s="24" t="s">
        <x:v>254</x:v>
      </x:c>
      <x:c r="K13" s="25" t="s">
        <x:v>255</x:v>
      </x:c>
      <x:c r="L13" s="26" t="s">
        <x:v>256</x:v>
      </x:c>
      <x:c r="M13" s="26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23" t="s">
        <x:v>299</x:v>
      </x:c>
      <x:c r="B14" s="23" t="s">
        <x:v>300</x:v>
      </x:c>
      <x:c r="C14" s="23" t="s">
        <x:v>10</x:v>
      </x:c>
      <x:c r="D14" s="23" t="str">
        <x:f>IFERROR(IF('IP Input Sheet'!D5&lt;&gt;"",'IP Input Sheet'!D5,IF('IP Input Sheet'!E5&lt;&gt;"",'IP Input Sheet'!E5,'IP Input Sheet'!F5)),"[Enter IP]")</x:f>
        <x:v>10.5.25.86</x:v>
      </x:c>
      <x:c r="E14" s="23" t="s">
        <x:v>292</x:v>
      </x:c>
      <x:c r="F14" s="23" t="str">
        <x:f>IFERROR(IF('IP Input Sheet'!D7&lt;&gt;"",'IP Input Sheet'!D7,IF('IP Input Sheet'!E7&lt;&gt;"",'IP Input Sheet'!E7,'IP Input Sheet'!F7)),"[Enter IP]")</x:f>
        <x:v>10.5.25.64/26</x:v>
      </x:c>
      <x:c r="G14" s="23" t="s">
        <x:v>301</x:v>
      </x:c>
      <x:c r="H14" s="23" t="s">
        <x:v>252</x:v>
      </x:c>
      <x:c r="I14" s="23" t="s">
        <x:v>302</x:v>
      </x:c>
      <x:c r="J14" s="24" t="s">
        <x:v>254</x:v>
      </x:c>
      <x:c r="K14" s="25" t="s">
        <x:v>255</x:v>
      </x:c>
      <x:c r="L14" s="23" t="s">
        <x:v>256</x:v>
      </x:c>
      <x:c r="M14" s="23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26" t="s">
        <x:v>303</x:v>
      </x:c>
      <x:c r="B15" s="26" t="s">
        <x:v>304</x:v>
      </x:c>
      <x:c r="C15" s="26" t="s">
        <x:v>10</x:v>
      </x:c>
      <x:c r="D15" s="26" t="str">
        <x:f>IFERROR(IF('IP Input Sheet'!D5&lt;&gt;"",'IP Input Sheet'!D5,IF('IP Input Sheet'!E5&lt;&gt;"",'IP Input Sheet'!E5,'IP Input Sheet'!F5)),"[Enter IP]")</x:f>
        <x:v>10.5.25.86</x:v>
      </x:c>
      <x:c r="E15" s="26" t="s">
        <x:v>292</x:v>
      </x:c>
      <x:c r="F15" s="26" t="str">
        <x:f>IFERROR(IF('IP Input Sheet'!D7&lt;&gt;"",'IP Input Sheet'!D7,IF('IP Input Sheet'!E7&lt;&gt;"",'IP Input Sheet'!E7,'IP Input Sheet'!F7)),"[Enter IP]")</x:f>
        <x:v>10.5.25.64/26</x:v>
      </x:c>
      <x:c r="G15" s="26" t="s">
        <x:v>305</x:v>
      </x:c>
      <x:c r="H15" s="26" t="s">
        <x:v>252</x:v>
      </x:c>
      <x:c r="I15" s="26" t="s">
        <x:v>306</x:v>
      </x:c>
      <x:c r="J15" s="24" t="s">
        <x:v>254</x:v>
      </x:c>
      <x:c r="K15" s="25" t="s">
        <x:v>255</x:v>
      </x:c>
      <x:c r="L15" s="26" t="s">
        <x:v>256</x:v>
      </x:c>
      <x:c r="M15" s="26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23" t="s">
        <x:v>307</x:v>
      </x:c>
      <x:c r="B16" s="23" t="s">
        <x:v>308</x:v>
      </x:c>
      <x:c r="C16" s="23" t="s">
        <x:v>10</x:v>
      </x:c>
      <x:c r="D16" s="23" t="str">
        <x:f>IFERROR(IF('IP Input Sheet'!D5&lt;&gt;"",'IP Input Sheet'!D5,IF('IP Input Sheet'!E5&lt;&gt;"",'IP Input Sheet'!E5,'IP Input Sheet'!F5)),"[Enter IP]")</x:f>
        <x:v>10.5.25.86</x:v>
      </x:c>
      <x:c r="E16" s="23" t="s">
        <x:v>292</x:v>
      </x:c>
      <x:c r="F16" s="23" t="str">
        <x:f>IFERROR(IF('IP Input Sheet'!D7&lt;&gt;"",'IP Input Sheet'!D7,IF('IP Input Sheet'!E7&lt;&gt;"",'IP Input Sheet'!E7,'IP Input Sheet'!F7)),"[Enter IP]")</x:f>
        <x:v>10.5.25.64/26</x:v>
      </x:c>
      <x:c r="G16" s="23" t="s">
        <x:v>309</x:v>
      </x:c>
      <x:c r="H16" s="23" t="s">
        <x:v>252</x:v>
      </x:c>
      <x:c r="I16" s="23" t="s">
        <x:v>306</x:v>
      </x:c>
      <x:c r="J16" s="24" t="s">
        <x:v>254</x:v>
      </x:c>
      <x:c r="K16" s="25" t="s">
        <x:v>255</x:v>
      </x:c>
      <x:c r="L16" s="23" t="s">
        <x:v>256</x:v>
      </x:c>
      <x:c r="M16" s="23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26" t="s">
        <x:v>310</x:v>
      </x:c>
      <x:c r="B17" s="26" t="s">
        <x:v>311</x:v>
      </x:c>
      <x:c r="C17" s="26" t="s">
        <x:v>10</x:v>
      </x:c>
      <x:c r="D17" s="26" t="str">
        <x:f>IFERROR(IF('IP Input Sheet'!D5&lt;&gt;"",'IP Input Sheet'!D5,IF('IP Input Sheet'!E5&lt;&gt;"",'IP Input Sheet'!E5,'IP Input Sheet'!F5)),"[Enter IP]")</x:f>
        <x:v>10.5.25.86</x:v>
      </x:c>
      <x:c r="E17" s="26" t="s">
        <x:v>286</x:v>
      </x:c>
      <x:c r="F17" s="26" t="str">
        <x:f>IFERROR(IF('IP Input Sheet'!D7&lt;&gt;"",'IP Input Sheet'!D7,IF('IP Input Sheet'!E7&lt;&gt;"",'IP Input Sheet'!E7,'IP Input Sheet'!F7)),"[Enter IP]")</x:f>
        <x:v>10.5.25.64/26</x:v>
      </x:c>
      <x:c r="G17" s="26" t="s">
        <x:v>312</x:v>
      </x:c>
      <x:c r="H17" s="26" t="s">
        <x:v>252</x:v>
      </x:c>
      <x:c r="I17" s="26" t="s">
        <x:v>313</x:v>
      </x:c>
      <x:c r="J17" s="24" t="s">
        <x:v>254</x:v>
      </x:c>
      <x:c r="K17" s="25" t="s">
        <x:v>255</x:v>
      </x:c>
      <x:c r="L17" s="26" t="s">
        <x:v>256</x:v>
      </x:c>
      <x:c r="M17" s="26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23" t="s">
        <x:v>314</x:v>
      </x:c>
      <x:c r="B18" s="23" t="s">
        <x:v>315</x:v>
      </x:c>
      <x:c r="C18" s="23" t="s">
        <x:v>14</x:v>
      </x:c>
      <x:c r="D18" s="23" t="str">
        <x:f>IFERROR(IF('IP Input Sheet'!D6&lt;&gt;"",'IP Input Sheet'!D6,IF('IP Input Sheet'!E6&lt;&gt;"",'IP Input Sheet'!E6,'IP Input Sheet'!F6)),"[Enter IP]")</x:f>
        <x:v>10.5.25.64/26</x:v>
      </x:c>
      <x:c r="E18" s="23" t="s">
        <x:v>207</x:v>
      </x:c>
      <x:c r="F18" s="23" t="n">
        <x:f>'IP Input Sheet'!D61</x:f>
        <x:v>0</x:v>
      </x:c>
      <x:c r="G18" s="23" t="s">
        <x:v>277</x:v>
      </x:c>
      <x:c r="H18" s="23" t="s">
        <x:v>278</x:v>
      </x:c>
      <x:c r="I18" s="23" t="s">
        <x:v>316</x:v>
      </x:c>
      <x:c r="J18" s="24" t="s">
        <x:v>254</x:v>
      </x:c>
      <x:c r="K18" s="25" t="s">
        <x:v>255</x:v>
      </x:c>
      <x:c r="L18" s="23" t="s">
        <x:v>256</x:v>
      </x:c>
      <x:c r="M18" s="23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26" t="s">
        <x:v>317</x:v>
      </x:c>
      <x:c r="B19" s="26" t="s">
        <x:v>318</x:v>
      </x:c>
      <x:c r="C19" s="26" t="s">
        <x:v>14</x:v>
      </x:c>
      <x:c r="D19" s="26" t="str">
        <x:f>IFERROR(IF('IP Input Sheet'!D6&lt;&gt;"",'IP Input Sheet'!D6,IF('IP Input Sheet'!E6&lt;&gt;"",'IP Input Sheet'!E6,'IP Input Sheet'!F6)),"[Enter IP]")</x:f>
        <x:v>10.5.25.64/26</x:v>
      </x:c>
      <x:c r="E19" s="26" t="s">
        <x:v>203</x:v>
      </x:c>
      <x:c r="F19" s="26" t="n">
        <x:f>'IP Input Sheet'!D60</x:f>
        <x:v>0</x:v>
      </x:c>
      <x:c r="G19" s="26" t="s">
        <x:v>271</x:v>
      </x:c>
      <x:c r="H19" s="26" t="s">
        <x:v>272</x:v>
      </x:c>
      <x:c r="I19" s="26" t="s">
        <x:v>319</x:v>
      </x:c>
      <x:c r="J19" s="24" t="s">
        <x:v>254</x:v>
      </x:c>
      <x:c r="K19" s="25" t="s">
        <x:v>255</x:v>
      </x:c>
      <x:c r="L19" s="26" t="s">
        <x:v>256</x:v>
      </x:c>
      <x:c r="M19" s="26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23" t="s">
        <x:v>320</x:v>
      </x:c>
      <x:c r="B20" s="23" t="s">
        <x:v>321</x:v>
      </x:c>
      <x:c r="C20" s="23" t="s">
        <x:v>14</x:v>
      </x:c>
      <x:c r="D20" s="23" t="str">
        <x:f>IFERROR(IF('IP Input Sheet'!D6&lt;&gt;"",'IP Input Sheet'!D6,IF('IP Input Sheet'!E6&lt;&gt;"",'IP Input Sheet'!E6,'IP Input Sheet'!F6)),"[Enter IP]")</x:f>
        <x:v>10.5.25.64/26</x:v>
      </x:c>
      <x:c r="E20" s="23" t="s">
        <x:v>322</x:v>
      </x:c>
      <x:c r="F20" s="23"/>
      <x:c r="G20" s="23" t="s">
        <x:v>323</x:v>
      </x:c>
      <x:c r="H20" s="23" t="s">
        <x:v>252</x:v>
      </x:c>
      <x:c r="I20" s="23" t="s">
        <x:v>324</x:v>
      </x:c>
      <x:c r="J20" s="24" t="s">
        <x:v>254</x:v>
      </x:c>
      <x:c r="K20" s="25" t="s">
        <x:v>255</x:v>
      </x:c>
      <x:c r="L20" s="23" t="s">
        <x:v>256</x:v>
      </x:c>
      <x:c r="M20" s="23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26" t="s">
        <x:v>325</x:v>
      </x:c>
      <x:c r="B21" s="26" t="s">
        <x:v>326</x:v>
      </x:c>
      <x:c r="C21" s="26" t="s">
        <x:v>14</x:v>
      </x:c>
      <x:c r="D21" s="26" t="str">
        <x:f>IFERROR(IF('IP Input Sheet'!D6&lt;&gt;"",'IP Input Sheet'!D6,IF('IP Input Sheet'!E6&lt;&gt;"",'IP Input Sheet'!E6,'IP Input Sheet'!F6)),"[Enter IP]")</x:f>
        <x:v>10.5.25.64/26</x:v>
      </x:c>
      <x:c r="E21" s="26" t="s">
        <x:v>322</x:v>
      </x:c>
      <x:c r="F21" s="26"/>
      <x:c r="G21" s="26" t="s">
        <x:v>327</x:v>
      </x:c>
      <x:c r="H21" s="26" t="s">
        <x:v>252</x:v>
      </x:c>
      <x:c r="I21" s="26" t="s">
        <x:v>328</x:v>
      </x:c>
      <x:c r="J21" s="24" t="s">
        <x:v>254</x:v>
      </x:c>
      <x:c r="K21" s="25" t="s">
        <x:v>255</x:v>
      </x:c>
      <x:c r="L21" s="26" t="s">
        <x:v>256</x:v>
      </x:c>
      <x:c r="M21" s="26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23" t="s">
        <x:v>329</x:v>
      </x:c>
      <x:c r="B22" s="23" t="s">
        <x:v>330</x:v>
      </x:c>
      <x:c r="C22" s="23" t="s">
        <x:v>14</x:v>
      </x:c>
      <x:c r="D22" s="23" t="str">
        <x:f>IFERROR(IF('IP Input Sheet'!D6&lt;&gt;"",'IP Input Sheet'!D6,IF('IP Input Sheet'!E6&lt;&gt;"",'IP Input Sheet'!E6,'IP Input Sheet'!F6)),"[Enter IP]")</x:f>
        <x:v>10.5.25.64/26</x:v>
      </x:c>
      <x:c r="E22" s="23" t="s">
        <x:v>322</x:v>
      </x:c>
      <x:c r="F22" s="23"/>
      <x:c r="G22" s="23" t="s">
        <x:v>331</x:v>
      </x:c>
      <x:c r="H22" s="23" t="s">
        <x:v>252</x:v>
      </x:c>
      <x:c r="I22" s="23" t="s">
        <x:v>332</x:v>
      </x:c>
      <x:c r="J22" s="24" t="s">
        <x:v>254</x:v>
      </x:c>
      <x:c r="K22" s="25" t="s">
        <x:v>255</x:v>
      </x:c>
      <x:c r="L22" s="23" t="s">
        <x:v>256</x:v>
      </x:c>
      <x:c r="M22" s="23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26" t="s">
        <x:v>333</x:v>
      </x:c>
      <x:c r="B23" s="26" t="s">
        <x:v>334</x:v>
      </x:c>
      <x:c r="C23" s="26" t="s">
        <x:v>14</x:v>
      </x:c>
      <x:c r="D23" s="26" t="str">
        <x:f>IFERROR(IF('IP Input Sheet'!D6&lt;&gt;"",'IP Input Sheet'!D6,IF('IP Input Sheet'!E6&lt;&gt;"",'IP Input Sheet'!E6,'IP Input Sheet'!F6)),"[Enter IP]")</x:f>
        <x:v>10.5.25.64/26</x:v>
      </x:c>
      <x:c r="E23" s="26" t="s">
        <x:v>335</x:v>
      </x:c>
      <x:c r="F23" s="26" t="str">
        <x:f>IF('IP Input Sheet'!$D$64&lt;&gt;"",'IP Input Sheet'!$D$64,IF('IP Input Sheet'!$E$64&lt;&gt;"",'IP Input Sheet'!$E$64,'IP Input Sheet'!$F$64))</x:f>
        <x:v>N/A — shared</x:v>
      </x:c>
      <x:c r="G23" s="26" t="s">
        <x:v>287</x:v>
      </x:c>
      <x:c r="H23" s="26" t="s">
        <x:v>252</x:v>
      </x:c>
      <x:c r="I23" s="26" t="str">
        <x:v>SFTP Backup – TCP/22</x:v>
      </x:c>
      <x:c r="J23" s="24" t="s">
        <x:v>254</x:v>
      </x:c>
      <x:c r="K23" s="25" t="s">
        <x:v>255</x:v>
      </x:c>
      <x:c r="L23" s="26" t="s">
        <x:v>256</x:v>
      </x:c>
      <x:c r="M23" s="26"/>
      <x:c r="N23" s="4" t="str">
        <x:v>Normalized SFTP backup entry linked to IP Input Sheet (SFTP_SRV).</x:v>
      </x:c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23" t="s">
        <x:v>336</x:v>
      </x:c>
      <x:c r="B24" s="23" t="s">
        <x:v>337</x:v>
      </x:c>
      <x:c r="C24" s="23" t="s">
        <x:v>14</x:v>
      </x:c>
      <x:c r="D24" s="23" t="str">
        <x:f>IFERROR(IF('IP Input Sheet'!D6&lt;&gt;"",'IP Input Sheet'!D6,IF('IP Input Sheet'!E6&lt;&gt;"",'IP Input Sheet'!E6,'IP Input Sheet'!F6)),"[Enter IP]")</x:f>
        <x:v>10.5.25.64/26</x:v>
      </x:c>
      <x:c r="E24" s="23" t="s">
        <x:v>36</x:v>
      </x:c>
      <x:c r="F24" s="23" t="str">
        <x:f>IFERROR(IF('IP Input Sheet'!D13&lt;&gt;"",'IP Input Sheet'!D13,IF('IP Input Sheet'!E13&lt;&gt;"",'IP Input Sheet'!E13,'IP Input Sheet'!F13)),"[Enter IP]")</x:f>
        <x:v>10.3.118.18</x:v>
      </x:c>
      <x:c r="G24" s="23" t="s">
        <x:v>338</x:v>
      </x:c>
      <x:c r="H24" s="23" t="s">
        <x:v>252</x:v>
      </x:c>
      <x:c r="I24" s="23" t="s">
        <x:v>339</x:v>
      </x:c>
      <x:c r="J24" s="24" t="s">
        <x:v>254</x:v>
      </x:c>
      <x:c r="K24" s="25" t="s">
        <x:v>255</x:v>
      </x:c>
      <x:c r="L24" s="23" t="s">
        <x:v>256</x:v>
      </x:c>
      <x:c r="M24" s="23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26" t="s">
        <x:v>340</x:v>
      </x:c>
      <x:c r="B25" s="26" t="s">
        <x:v>341</x:v>
      </x:c>
      <x:c r="C25" s="26" t="s">
        <x:v>14</x:v>
      </x:c>
      <x:c r="D25" s="26" t="str">
        <x:f>IFERROR(IF('IP Input Sheet'!D6&lt;&gt;"",'IP Input Sheet'!D6,IF('IP Input Sheet'!E6&lt;&gt;"",'IP Input Sheet'!E6,'IP Input Sheet'!F6)),"[Enter IP]")</x:f>
        <x:v>10.5.25.64/26</x:v>
      </x:c>
      <x:c r="E25" s="26" t="s">
        <x:v>36</x:v>
      </x:c>
      <x:c r="F25" s="26" t="str">
        <x:f>IFERROR(IF('IP Input Sheet'!D13&lt;&gt;"",'IP Input Sheet'!D13,IF('IP Input Sheet'!E13&lt;&gt;"",'IP Input Sheet'!E13,'IP Input Sheet'!F13)),"[Enter IP]")</x:f>
        <x:v>10.3.118.18</x:v>
      </x:c>
      <x:c r="G25" s="26" t="s">
        <x:v>251</x:v>
      </x:c>
      <x:c r="H25" s="26" t="s">
        <x:v>252</x:v>
      </x:c>
      <x:c r="I25" s="26" t="s">
        <x:v>342</x:v>
      </x:c>
      <x:c r="J25" s="24" t="s">
        <x:v>254</x:v>
      </x:c>
      <x:c r="K25" s="25" t="s">
        <x:v>255</x:v>
      </x:c>
      <x:c r="L25" s="26" t="s">
        <x:v>256</x:v>
      </x:c>
      <x:c r="M25" s="26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23" t="s">
        <x:v>343</x:v>
      </x:c>
      <x:c r="B26" s="23" t="s">
        <x:v>344</x:v>
      </x:c>
      <x:c r="C26" s="23" t="s">
        <x:v>14</x:v>
      </x:c>
      <x:c r="D26" s="23" t="str">
        <x:f>IFERROR(IF('IP Input Sheet'!D6&lt;&gt;"",'IP Input Sheet'!D6,IF('IP Input Sheet'!E6&lt;&gt;"",'IP Input Sheet'!E6,'IP Input Sheet'!F6)),"[Enter IP]")</x:f>
        <x:v>10.5.25.64/26</x:v>
      </x:c>
      <x:c r="E26" s="23" t="s">
        <x:v>282</x:v>
      </x:c>
      <x:c r="F26" s="23" t="str">
        <x:f>IFERROR(IF('IP Input Sheet'!D54&lt;&gt;"",'IP Input Sheet'!D54,IF('IP Input Sheet'!E54&lt;&gt;"",'IP Input Sheet'!E54,'IP Input Sheet'!F54)),"[Enter IP]")</x:f>
        <x:v>10.3.118.0/24</x:v>
      </x:c>
      <x:c r="G26" s="23" t="s">
        <x:v>251</x:v>
      </x:c>
      <x:c r="H26" s="23" t="s">
        <x:v>252</x:v>
      </x:c>
      <x:c r="I26" s="23" t="s">
        <x:v>345</x:v>
      </x:c>
      <x:c r="J26" s="24" t="s">
        <x:v>254</x:v>
      </x:c>
      <x:c r="K26" s="25" t="s">
        <x:v>255</x:v>
      </x:c>
      <x:c r="L26" s="23" t="s">
        <x:v>256</x:v>
      </x:c>
      <x:c r="M26" s="23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26" t="s">
        <x:v>346</x:v>
      </x:c>
      <x:c r="B27" s="26" t="s">
        <x:v>347</x:v>
      </x:c>
      <x:c r="C27" s="26" t="s">
        <x:v>14</x:v>
      </x:c>
      <x:c r="D27" s="26" t="str">
        <x:f>IFERROR(IF('IP Input Sheet'!D6&lt;&gt;"",'IP Input Sheet'!D6,IF('IP Input Sheet'!E6&lt;&gt;"",'IP Input Sheet'!E6,'IP Input Sheet'!F6)),"[Enter IP]")</x:f>
        <x:v>10.5.25.64/26</x:v>
      </x:c>
      <x:c r="E27" s="26" t="s">
        <x:v>267</x:v>
      </x:c>
      <x:c r="F27" s="26" t="str">
        <x:f>IFERROR(IF('IP Input Sheet'!D14&lt;&gt;"",'IP Input Sheet'!D14,IF('IP Input Sheet'!E14&lt;&gt;"",'IP Input Sheet'!E14,'IP Input Sheet'!F14)),"[Enter IP]")</x:f>
        <x:v>10.3.118.0/24</x:v>
      </x:c>
      <x:c r="G27" s="26" t="s">
        <x:v>251</x:v>
      </x:c>
      <x:c r="H27" s="26" t="s">
        <x:v>252</x:v>
      </x:c>
      <x:c r="I27" s="26" t="s">
        <x:v>348</x:v>
      </x:c>
      <x:c r="J27" s="24" t="s">
        <x:v>254</x:v>
      </x:c>
      <x:c r="K27" s="25" t="s">
        <x:v>255</x:v>
      </x:c>
      <x:c r="L27" s="26" t="s">
        <x:v>256</x:v>
      </x:c>
      <x:c r="M27" s="26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23" t="s">
        <x:v>349</x:v>
      </x:c>
      <x:c r="B28" s="23" t="s">
        <x:v>350</x:v>
      </x:c>
      <x:c r="C28" s="23" t="s">
        <x:v>18</x:v>
      </x:c>
      <x:c r="D28" s="23" t="str">
        <x:f>IFERROR(IF('IP Input Sheet'!D7&lt;&gt;"",'IP Input Sheet'!D7,IF('IP Input Sheet'!E7&lt;&gt;"",'IP Input Sheet'!E7,'IP Input Sheet'!F7)),"[Enter IP]")</x:f>
        <x:v>10.5.25.64/26</x:v>
      </x:c>
      <x:c r="E28" s="23" t="s">
        <x:v>36</x:v>
      </x:c>
      <x:c r="F28" s="23" t="str">
        <x:f>IFERROR(IF('IP Input Sheet'!D13&lt;&gt;"",'IP Input Sheet'!D13,IF('IP Input Sheet'!E13&lt;&gt;"",'IP Input Sheet'!E13,'IP Input Sheet'!F13)),"[Enter IP]")</x:f>
        <x:v>10.3.118.18</x:v>
      </x:c>
      <x:c r="G28" s="23" t="s">
        <x:v>251</x:v>
      </x:c>
      <x:c r="H28" s="23" t="s">
        <x:v>252</x:v>
      </x:c>
      <x:c r="I28" s="23" t="s">
        <x:v>351</x:v>
      </x:c>
      <x:c r="J28" s="24" t="s">
        <x:v>254</x:v>
      </x:c>
      <x:c r="K28" s="25" t="s">
        <x:v>255</x:v>
      </x:c>
      <x:c r="L28" s="23" t="s">
        <x:v>261</x:v>
      </x:c>
      <x:c r="M28" s="23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26" t="s">
        <x:v>352</x:v>
      </x:c>
      <x:c r="B29" s="26" t="s">
        <x:v>353</x:v>
      </x:c>
      <x:c r="C29" s="26" t="s">
        <x:v>18</x:v>
      </x:c>
      <x:c r="D29" s="26" t="str">
        <x:f>IFERROR(IF('IP Input Sheet'!D7&lt;&gt;"",'IP Input Sheet'!D7,IF('IP Input Sheet'!E7&lt;&gt;"",'IP Input Sheet'!E7,'IP Input Sheet'!F7)),"[Enter IP]")</x:f>
        <x:v>10.5.25.64/26</x:v>
      </x:c>
      <x:c r="E29" s="26" t="s">
        <x:v>282</x:v>
      </x:c>
      <x:c r="F29" s="26" t="str">
        <x:f>IFERROR(IF('IP Input Sheet'!D54&lt;&gt;"",'IP Input Sheet'!D54,IF('IP Input Sheet'!E54&lt;&gt;"",'IP Input Sheet'!E54,'IP Input Sheet'!F54)),"[Enter IP]")</x:f>
        <x:v>10.3.118.0/24</x:v>
      </x:c>
      <x:c r="G29" s="26" t="s">
        <x:v>354</x:v>
      </x:c>
      <x:c r="H29" s="26" t="s">
        <x:v>252</x:v>
      </x:c>
      <x:c r="I29" s="26" t="s">
        <x:v>355</x:v>
      </x:c>
      <x:c r="J29" s="24" t="s">
        <x:v>254</x:v>
      </x:c>
      <x:c r="K29" s="25" t="s">
        <x:v>255</x:v>
      </x:c>
      <x:c r="L29" s="26" t="s">
        <x:v>256</x:v>
      </x:c>
      <x:c r="M29" s="26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23" t="s">
        <x:v>356</x:v>
      </x:c>
      <x:c r="B30" s="23" t="s">
        <x:v>357</x:v>
      </x:c>
      <x:c r="C30" s="23" t="s">
        <x:v>18</x:v>
      </x:c>
      <x:c r="D30" s="23" t="str">
        <x:f>IFERROR(IF('IP Input Sheet'!D7&lt;&gt;"",'IP Input Sheet'!D7,IF('IP Input Sheet'!E7&lt;&gt;"",'IP Input Sheet'!E7,'IP Input Sheet'!F7)),"[Enter IP]")</x:f>
        <x:v>10.5.25.64/26</x:v>
      </x:c>
      <x:c r="E30" s="23" t="s">
        <x:v>282</x:v>
      </x:c>
      <x:c r="F30" s="23" t="str">
        <x:f>IFERROR(IF('IP Input Sheet'!D54&lt;&gt;"",'IP Input Sheet'!D54,IF('IP Input Sheet'!E54&lt;&gt;"",'IP Input Sheet'!E54,'IP Input Sheet'!F54)),"[Enter IP]")</x:f>
        <x:v>10.3.118.0/24</x:v>
      </x:c>
      <x:c r="G30" s="23" t="s">
        <x:v>251</x:v>
      </x:c>
      <x:c r="H30" s="23" t="s">
        <x:v>252</x:v>
      </x:c>
      <x:c r="I30" s="23" t="s">
        <x:v>358</x:v>
      </x:c>
      <x:c r="J30" s="24" t="s">
        <x:v>254</x:v>
      </x:c>
      <x:c r="K30" s="25" t="s">
        <x:v>255</x:v>
      </x:c>
      <x:c r="L30" s="23" t="s">
        <x:v>261</x:v>
      </x:c>
      <x:c r="M30" s="23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26" t="s">
        <x:v>359</x:v>
      </x:c>
      <x:c r="B31" s="26" t="s">
        <x:v>360</x:v>
      </x:c>
      <x:c r="C31" s="26" t="s">
        <x:v>18</x:v>
      </x:c>
      <x:c r="D31" s="26" t="str">
        <x:f>IFERROR(IF('IP Input Sheet'!D7&lt;&gt;"",'IP Input Sheet'!D7,IF('IP Input Sheet'!E7&lt;&gt;"",'IP Input Sheet'!E7,'IP Input Sheet'!F7)),"[Enter IP]")</x:f>
        <x:v>10.5.25.64/26</x:v>
      </x:c>
      <x:c r="E31" s="26" t="s">
        <x:v>282</x:v>
      </x:c>
      <x:c r="F31" s="26" t="str">
        <x:f>IFERROR(IF('IP Input Sheet'!D54&lt;&gt;"",'IP Input Sheet'!D54,IF('IP Input Sheet'!E54&lt;&gt;"",'IP Input Sheet'!E54,'IP Input Sheet'!F54)),"[Enter IP]")</x:f>
        <x:v>10.3.118.0/24</x:v>
      </x:c>
      <x:c r="G31" s="26" t="s">
        <x:v>287</x:v>
      </x:c>
      <x:c r="H31" s="26" t="s">
        <x:v>252</x:v>
      </x:c>
      <x:c r="I31" s="26" t="s">
        <x:v>361</x:v>
      </x:c>
      <x:c r="J31" s="24" t="s">
        <x:v>254</x:v>
      </x:c>
      <x:c r="K31" s="25" t="s">
        <x:v>255</x:v>
      </x:c>
      <x:c r="L31" s="26" t="s">
        <x:v>261</x:v>
      </x:c>
      <x:c r="M31" s="26" t="s">
        <x:v>362</x:v>
      </x:c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23" t="s">
        <x:v>363</x:v>
      </x:c>
      <x:c r="B32" s="23" t="s">
        <x:v>364</x:v>
      </x:c>
      <x:c r="C32" s="23" t="s">
        <x:v>18</x:v>
      </x:c>
      <x:c r="D32" s="23" t="str">
        <x:f>IFERROR(IF('IP Input Sheet'!D7&lt;&gt;"",'IP Input Sheet'!D7,IF('IP Input Sheet'!E7&lt;&gt;"",'IP Input Sheet'!E7,'IP Input Sheet'!F7)),"[Enter IP]")</x:f>
        <x:v>10.5.25.64/26</x:v>
      </x:c>
      <x:c r="E32" s="23" t="s">
        <x:v>365</x:v>
      </x:c>
      <x:c r="F32" s="23" t="str">
        <x:f>IFERROR(IF('IP Input Sheet'!D14&lt;&gt;"",'IP Input Sheet'!D14,IF('IP Input Sheet'!E14&lt;&gt;"",'IP Input Sheet'!E14,'IP Input Sheet'!F14)),"[Enter IP]")</x:f>
        <x:v>10.3.118.0/24</x:v>
      </x:c>
      <x:c r="G32" s="23" t="s">
        <x:v>251</x:v>
      </x:c>
      <x:c r="H32" s="23" t="s">
        <x:v>252</x:v>
      </x:c>
      <x:c r="I32" s="23" t="s">
        <x:v>366</x:v>
      </x:c>
      <x:c r="J32" s="24" t="s">
        <x:v>254</x:v>
      </x:c>
      <x:c r="K32" s="25" t="s">
        <x:v>255</x:v>
      </x:c>
      <x:c r="L32" s="23" t="s">
        <x:v>261</x:v>
      </x:c>
      <x:c r="M32" s="23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26" t="s">
        <x:v>367</x:v>
      </x:c>
      <x:c r="B33" s="26" t="s">
        <x:v>368</x:v>
      </x:c>
      <x:c r="C33" s="26" t="s">
        <x:v>18</x:v>
      </x:c>
      <x:c r="D33" s="26" t="str">
        <x:f>IFERROR(IF('IP Input Sheet'!D7&lt;&gt;"",'IP Input Sheet'!D7,IF('IP Input Sheet'!E7&lt;&gt;"",'IP Input Sheet'!E7,'IP Input Sheet'!F7)),"[Enter IP]")</x:f>
        <x:v>10.5.25.64/26</x:v>
      </x:c>
      <x:c r="E33" s="26" t="s">
        <x:v>369</x:v>
      </x:c>
      <x:c r="F33" s="26" t="str">
        <x:f>IFERROR(IF('IP Input Sheet'!D13&lt;&gt;"",'IP Input Sheet'!D13,IF('IP Input Sheet'!E13&lt;&gt;"",'IP Input Sheet'!E13,'IP Input Sheet'!F13)),"[Enter IP]")</x:f>
        <x:v>10.3.118.18</x:v>
      </x:c>
      <x:c r="G33" s="26" t="s">
        <x:v>251</x:v>
      </x:c>
      <x:c r="H33" s="26" t="s">
        <x:v>252</x:v>
      </x:c>
      <x:c r="I33" s="26" t="s">
        <x:v>370</x:v>
      </x:c>
      <x:c r="J33" s="24" t="s">
        <x:v>254</x:v>
      </x:c>
      <x:c r="K33" s="25" t="s">
        <x:v>255</x:v>
      </x:c>
      <x:c r="L33" s="26" t="s">
        <x:v>256</x:v>
      </x:c>
      <x:c r="M33" s="26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23" t="s">
        <x:v>371</x:v>
      </x:c>
      <x:c r="B34" s="23" t="s">
        <x:v>372</x:v>
      </x:c>
      <x:c r="C34" s="23" t="s">
        <x:v>18</x:v>
      </x:c>
      <x:c r="D34" s="23" t="str">
        <x:f>IFERROR(IF('IP Input Sheet'!D7&lt;&gt;"",'IP Input Sheet'!D7,IF('IP Input Sheet'!E7&lt;&gt;"",'IP Input Sheet'!E7,'IP Input Sheet'!F7)),"[Enter IP]")</x:f>
        <x:v>10.5.25.64/26</x:v>
      </x:c>
      <x:c r="E34" s="23" t="s">
        <x:v>369</x:v>
      </x:c>
      <x:c r="F34" s="23" t="str">
        <x:f>IFERROR(IF('IP Input Sheet'!D13&lt;&gt;"",'IP Input Sheet'!D13,IF('IP Input Sheet'!E13&lt;&gt;"",'IP Input Sheet'!E13,'IP Input Sheet'!F13)),"[Enter IP]")</x:f>
        <x:v>10.3.118.18</x:v>
      </x:c>
      <x:c r="G34" s="23" t="s">
        <x:v>293</x:v>
      </x:c>
      <x:c r="H34" s="23" t="s">
        <x:v>252</x:v>
      </x:c>
      <x:c r="I34" s="23" t="s">
        <x:v>373</x:v>
      </x:c>
      <x:c r="J34" s="24" t="s">
        <x:v>254</x:v>
      </x:c>
      <x:c r="K34" s="25" t="s">
        <x:v>255</x:v>
      </x:c>
      <x:c r="L34" s="23" t="s">
        <x:v>256</x:v>
      </x:c>
      <x:c r="M34" s="23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26" t="s">
        <x:v>374</x:v>
      </x:c>
      <x:c r="B35" s="26" t="s">
        <x:v>375</x:v>
      </x:c>
      <x:c r="C35" s="26" t="s">
        <x:v>376</x:v>
      </x:c>
      <x:c r="D35" s="26" t="str">
        <x:f>IFERROR(IF('IP Input Sheet'!D9&lt;&gt;"",'IP Input Sheet'!D9,IF('IP Input Sheet'!E9&lt;&gt;"",'IP Input Sheet'!E9,'IP Input Sheet'!F9)),"[Enter IP]")</x:f>
        <x:v>10.5.25.64/26</x:v>
      </x:c>
      <x:c r="E35" s="26" t="s">
        <x:v>36</x:v>
      </x:c>
      <x:c r="F35" s="26" t="str">
        <x:f>IFERROR(IF('IP Input Sheet'!D13&lt;&gt;"",'IP Input Sheet'!D13,IF('IP Input Sheet'!E13&lt;&gt;"",'IP Input Sheet'!E13,'IP Input Sheet'!F13)),"[Enter IP]")</x:f>
        <x:v>10.3.118.18</x:v>
      </x:c>
      <x:c r="G35" s="26" t="s">
        <x:v>377</x:v>
      </x:c>
      <x:c r="H35" s="26" t="s">
        <x:v>252</x:v>
      </x:c>
      <x:c r="I35" s="26" t="s">
        <x:v>378</x:v>
      </x:c>
      <x:c r="J35" s="24" t="s">
        <x:v>254</x:v>
      </x:c>
      <x:c r="K35" s="25" t="s">
        <x:v>255</x:v>
      </x:c>
      <x:c r="L35" s="26" t="s">
        <x:v>256</x:v>
      </x:c>
      <x:c r="M35" s="26" t="s">
        <x:v>379</x:v>
      </x:c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23" t="s">
        <x:v>380</x:v>
      </x:c>
      <x:c r="B36" s="23" t="s">
        <x:v>381</x:v>
      </x:c>
      <x:c r="C36" s="23" t="s">
        <x:v>376</x:v>
      </x:c>
      <x:c r="D36" s="23" t="str">
        <x:f>IFERROR(IF('IP Input Sheet'!D9&lt;&gt;"",'IP Input Sheet'!D9,IF('IP Input Sheet'!E9&lt;&gt;"",'IP Input Sheet'!E9,'IP Input Sheet'!F9)),"[Enter IP]")</x:f>
        <x:v>10.5.25.64/26</x:v>
      </x:c>
      <x:c r="E36" s="23" t="s">
        <x:v>282</x:v>
      </x:c>
      <x:c r="F36" s="23" t="str">
        <x:f>IFERROR(IF('IP Input Sheet'!D54&lt;&gt;"",'IP Input Sheet'!D54,IF('IP Input Sheet'!E54&lt;&gt;"",'IP Input Sheet'!E54,'IP Input Sheet'!F54)),"[Enter IP]")</x:f>
        <x:v>10.3.118.0/24</x:v>
      </x:c>
      <x:c r="G36" s="23" t="s">
        <x:v>382</x:v>
      </x:c>
      <x:c r="H36" s="23" t="s">
        <x:v>272</x:v>
      </x:c>
      <x:c r="I36" s="23" t="s">
        <x:v>383</x:v>
      </x:c>
      <x:c r="J36" s="24" t="s">
        <x:v>254</x:v>
      </x:c>
      <x:c r="K36" s="25" t="s">
        <x:v>255</x:v>
      </x:c>
      <x:c r="L36" s="23" t="s">
        <x:v>256</x:v>
      </x:c>
      <x:c r="M36" s="23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26" t="s">
        <x:v>384</x:v>
      </x:c>
      <x:c r="B37" s="26" t="s">
        <x:v>385</x:v>
      </x:c>
      <x:c r="C37" s="26" t="s">
        <x:v>376</x:v>
      </x:c>
      <x:c r="D37" s="26" t="str">
        <x:f>IFERROR(IF('IP Input Sheet'!D9&lt;&gt;"",'IP Input Sheet'!D9,IF('IP Input Sheet'!E9&lt;&gt;"",'IP Input Sheet'!E9,'IP Input Sheet'!F9)),"[Enter IP]")</x:f>
        <x:v>10.5.25.64/26</x:v>
      </x:c>
      <x:c r="E37" s="26" t="s">
        <x:v>267</x:v>
      </x:c>
      <x:c r="F37" s="26" t="str">
        <x:f>IFERROR(IF('IP Input Sheet'!D14&lt;&gt;"",'IP Input Sheet'!D14,IF('IP Input Sheet'!E14&lt;&gt;"",'IP Input Sheet'!E14,'IP Input Sheet'!F14)),"[Enter IP]")</x:f>
        <x:v>10.3.118.0/24</x:v>
      </x:c>
      <x:c r="G37" s="26" t="s">
        <x:v>251</x:v>
      </x:c>
      <x:c r="H37" s="26" t="s">
        <x:v>252</x:v>
      </x:c>
      <x:c r="I37" s="26" t="s">
        <x:v>386</x:v>
      </x:c>
      <x:c r="J37" s="24" t="s">
        <x:v>254</x:v>
      </x:c>
      <x:c r="K37" s="25" t="s">
        <x:v>255</x:v>
      </x:c>
      <x:c r="L37" s="26" t="s">
        <x:v>256</x:v>
      </x:c>
      <x:c r="M37" s="26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23" t="s">
        <x:v>387</x:v>
      </x:c>
      <x:c r="B38" s="23" t="s">
        <x:v>388</x:v>
      </x:c>
      <x:c r="C38" s="23" t="s">
        <x:v>376</x:v>
      </x:c>
      <x:c r="D38" s="23" t="str">
        <x:f>IFERROR(IF('IP Input Sheet'!D9&lt;&gt;"",'IP Input Sheet'!D9,IF('IP Input Sheet'!E9&lt;&gt;"",'IP Input Sheet'!E9,'IP Input Sheet'!F9)),"[Enter IP]")</x:f>
        <x:v>10.5.25.64/26</x:v>
      </x:c>
      <x:c r="E38" s="23" t="s">
        <x:v>203</x:v>
      </x:c>
      <x:c r="F38" s="23" t="n">
        <x:f>'IP Input Sheet'!D60</x:f>
        <x:v>0</x:v>
      </x:c>
      <x:c r="G38" s="23" t="s">
        <x:v>271</x:v>
      </x:c>
      <x:c r="H38" s="23" t="s">
        <x:v>252</x:v>
      </x:c>
      <x:c r="I38" s="23" t="s">
        <x:v>389</x:v>
      </x:c>
      <x:c r="J38" s="24" t="s">
        <x:v>254</x:v>
      </x:c>
      <x:c r="K38" s="25" t="s">
        <x:v>255</x:v>
      </x:c>
      <x:c r="L38" s="23" t="s">
        <x:v>256</x:v>
      </x:c>
      <x:c r="M38" s="23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26" t="s">
        <x:v>390</x:v>
      </x:c>
      <x:c r="B39" s="26" t="s">
        <x:v>391</x:v>
      </x:c>
      <x:c r="C39" s="26" t="s">
        <x:v>376</x:v>
      </x:c>
      <x:c r="D39" s="26" t="str">
        <x:f>IFERROR(IF('IP Input Sheet'!D9&lt;&gt;"",'IP Input Sheet'!D9,IF('IP Input Sheet'!E9&lt;&gt;"",'IP Input Sheet'!E9,'IP Input Sheet'!F9)),"[Enter IP]")</x:f>
        <x:v>10.5.25.64/26</x:v>
      </x:c>
      <x:c r="E39" s="26" t="s">
        <x:v>207</x:v>
      </x:c>
      <x:c r="F39" s="26" t="n">
        <x:f>'IP Input Sheet'!D61</x:f>
        <x:v>0</x:v>
      </x:c>
      <x:c r="G39" s="26" t="s">
        <x:v>277</x:v>
      </x:c>
      <x:c r="H39" s="26" t="s">
        <x:v>278</x:v>
      </x:c>
      <x:c r="I39" s="26" t="s">
        <x:v>392</x:v>
      </x:c>
      <x:c r="J39" s="24" t="s">
        <x:v>254</x:v>
      </x:c>
      <x:c r="K39" s="25" t="s">
        <x:v>255</x:v>
      </x:c>
      <x:c r="L39" s="26" t="s">
        <x:v>256</x:v>
      </x:c>
      <x:c r="M39" s="26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23" t="s">
        <x:v>393</x:v>
      </x:c>
      <x:c r="B40" s="23" t="s">
        <x:v>394</x:v>
      </x:c>
      <x:c r="C40" s="23" t="s">
        <x:v>376</x:v>
      </x:c>
      <x:c r="D40" s="23" t="str">
        <x:f>IFERROR(IF('IP Input Sheet'!D9&lt;&gt;"",'IP Input Sheet'!D9,IF('IP Input Sheet'!E9&lt;&gt;"",'IP Input Sheet'!E9,'IP Input Sheet'!F9)),"[Enter IP]")</x:f>
        <x:v>10.5.25.64/26</x:v>
      </x:c>
      <x:c r="E40" s="23" t="s">
        <x:v>395</x:v>
      </x:c>
      <x:c r="F40" s="23" t="s">
        <x:v>396</x:v>
      </x:c>
      <x:c r="G40" s="23" t="s">
        <x:v>397</x:v>
      </x:c>
      <x:c r="H40" s="23" t="s">
        <x:v>252</x:v>
      </x:c>
      <x:c r="I40" s="23" t="s">
        <x:v>398</x:v>
      </x:c>
      <x:c r="J40" s="24" t="s">
        <x:v>254</x:v>
      </x:c>
      <x:c r="K40" s="25" t="s">
        <x:v>255</x:v>
      </x:c>
      <x:c r="L40" s="23" t="s">
        <x:v>256</x:v>
      </x:c>
      <x:c r="M40" s="23" t="s">
        <x:v>399</x:v>
      </x:c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26" t="s">
        <x:v>400</x:v>
      </x:c>
      <x:c r="B41" s="26" t="s">
        <x:v>401</x:v>
      </x:c>
      <x:c r="C41" s="26" t="s">
        <x:v>376</x:v>
      </x:c>
      <x:c r="D41" s="26" t="str">
        <x:f>IFERROR(IF('IP Input Sheet'!D9&lt;&gt;"",'IP Input Sheet'!D9,IF('IP Input Sheet'!E9&lt;&gt;"",'IP Input Sheet'!E9,'IP Input Sheet'!F9)),"[Enter IP]")</x:f>
        <x:v>10.5.25.64/26</x:v>
      </x:c>
      <x:c r="E41" s="26" t="s">
        <x:v>402</x:v>
      </x:c>
      <x:c r="F41" s="26" t="str">
        <x:f>IFERROR(IF('IP Input Sheet'!D19&lt;&gt;"",'IP Input Sheet'!D19,IF('IP Input Sheet'!E19&lt;&gt;"",'IP Input Sheet'!E19,'IP Input Sheet'!F19)),"[Enter IP]")</x:f>
        <x:v>10.3.118.101</x:v>
      </x:c>
      <x:c r="G41" s="26" t="s">
        <x:v>251</x:v>
      </x:c>
      <x:c r="H41" s="26" t="s">
        <x:v>252</x:v>
      </x:c>
      <x:c r="I41" s="26" t="s">
        <x:v>403</x:v>
      </x:c>
      <x:c r="J41" s="24" t="s">
        <x:v>254</x:v>
      </x:c>
      <x:c r="K41" s="25" t="s">
        <x:v>255</x:v>
      </x:c>
      <x:c r="L41" s="26" t="s">
        <x:v>256</x:v>
      </x:c>
      <x:c r="M41" s="26" t="s">
        <x:v>404</x:v>
      </x:c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23" t="s">
        <x:v>405</x:v>
      </x:c>
      <x:c r="B42" s="23" t="s">
        <x:v>406</x:v>
      </x:c>
      <x:c r="C42" s="23" t="s">
        <x:v>376</x:v>
      </x:c>
      <x:c r="D42" s="23" t="str">
        <x:f>IFERROR(IF('IP Input Sheet'!D9&lt;&gt;"",'IP Input Sheet'!D9,IF('IP Input Sheet'!E9&lt;&gt;"",'IP Input Sheet'!E9,'IP Input Sheet'!F9)),"[Enter IP]")</x:f>
        <x:v>10.5.25.64/26</x:v>
      </x:c>
      <x:c r="E42" s="23" t="s">
        <x:v>402</x:v>
      </x:c>
      <x:c r="F42" s="23" t="str">
        <x:f>IFERROR(IF('IP Input Sheet'!D19&lt;&gt;"",'IP Input Sheet'!D19,IF('IP Input Sheet'!E19&lt;&gt;"",'IP Input Sheet'!E19,'IP Input Sheet'!F19)),"[Enter IP]")</x:f>
        <x:v>10.3.118.101</x:v>
      </x:c>
      <x:c r="G42" s="23" t="s">
        <x:v>287</x:v>
      </x:c>
      <x:c r="H42" s="23" t="s">
        <x:v>252</x:v>
      </x:c>
      <x:c r="I42" s="23" t="s">
        <x:v>407</x:v>
      </x:c>
      <x:c r="J42" s="24" t="s">
        <x:v>254</x:v>
      </x:c>
      <x:c r="K42" s="25" t="s">
        <x:v>255</x:v>
      </x:c>
      <x:c r="L42" s="23" t="s">
        <x:v>256</x:v>
      </x:c>
      <x:c r="M42" s="23" t="s">
        <x:v>408</x:v>
      </x:c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26" t="s">
        <x:v>409</x:v>
      </x:c>
      <x:c r="B43" s="26" t="s">
        <x:v>410</x:v>
      </x:c>
      <x:c r="C43" s="26" t="s">
        <x:v>14</x:v>
      </x:c>
      <x:c r="D43" s="26" t="str">
        <x:f>IFERROR(IF('IP Input Sheet'!D6&lt;&gt;"",'IP Input Sheet'!D6,IF('IP Input Sheet'!E6&lt;&gt;"",'IP Input Sheet'!E6,'IP Input Sheet'!F6)),"[Enter IP]")</x:f>
        <x:v>10.5.25.64/26</x:v>
      </x:c>
      <x:c r="E43" s="26" t="s">
        <x:v>402</x:v>
      </x:c>
      <x:c r="F43" s="26" t="str">
        <x:f>IFERROR(IF('IP Input Sheet'!D19&lt;&gt;"",'IP Input Sheet'!D19,IF('IP Input Sheet'!E19&lt;&gt;"",'IP Input Sheet'!E19,'IP Input Sheet'!F19)),"[Enter IP]")</x:f>
        <x:v>10.3.118.101</x:v>
      </x:c>
      <x:c r="G43" s="26" t="s">
        <x:v>251</x:v>
      </x:c>
      <x:c r="H43" s="26" t="s">
        <x:v>252</x:v>
      </x:c>
      <x:c r="I43" s="26" t="s">
        <x:v>411</x:v>
      </x:c>
      <x:c r="J43" s="24" t="s">
        <x:v>254</x:v>
      </x:c>
      <x:c r="K43" s="25" t="s">
        <x:v>255</x:v>
      </x:c>
      <x:c r="L43" s="26" t="s">
        <x:v>256</x:v>
      </x:c>
      <x:c r="M43" s="26" t="s">
        <x:v>412</x:v>
      </x:c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27" t="s">
        <x:v>413</x:v>
      </x:c>
      <x:c r="B44" s="27" t="s">
        <x:v>414</x:v>
      </x:c>
      <x:c r="C44" s="27" t="s">
        <x:v>415</x:v>
      </x:c>
      <x:c r="D44" s="27" t="str">
        <x:f>IFERROR(IF('IP Input Sheet'!D22&lt;&gt;"",'IP Input Sheet'!D22,IF('IP Input Sheet'!E22&lt;&gt;"",'IP Input Sheet'!E22,'IP Input Sheet'!F22)),"[Enter IP]")</x:f>
        <x:v>10.3.111.101</x:v>
      </x:c>
      <x:c r="E44" s="27" t="s">
        <x:v>416</x:v>
      </x:c>
      <x:c r="F44" s="27" t="str">
        <x:f>IFERROR(IF('IP Input Sheet'!D32&lt;&gt;"",'IP Input Sheet'!D32,IF('IP Input Sheet'!E32&lt;&gt;"",'IP Input Sheet'!E32,'IP Input Sheet'!F32)),"[Enter IP]")</x:f>
        <x:v>10.3.111.97</x:v>
      </x:c>
      <x:c r="G44" s="27" t="s">
        <x:v>417</x:v>
      </x:c>
      <x:c r="H44" s="27" t="s">
        <x:v>252</x:v>
      </x:c>
      <x:c r="I44" s="27" t="s">
        <x:v>418</x:v>
      </x:c>
      <x:c r="J44" s="24" t="s">
        <x:v>254</x:v>
      </x:c>
      <x:c r="K44" s="28" t="s">
        <x:v>255</x:v>
      </x:c>
      <x:c r="L44" s="27" t="s">
        <x:v>261</x:v>
      </x:c>
      <x:c r="M44" s="27" t="s">
        <x:v>419</x:v>
      </x:c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29" t="s">
        <x:v>420</x:v>
      </x:c>
      <x:c r="B45" s="29" t="s">
        <x:v>421</x:v>
      </x:c>
      <x:c r="C45" s="29" t="s">
        <x:v>422</x:v>
      </x:c>
      <x:c r="D45" s="29" t="str">
        <x:f>IFERROR(IF('IP Input Sheet'!D23&lt;&gt;"",'IP Input Sheet'!D23,IF('IP Input Sheet'!E23&lt;&gt;"",'IP Input Sheet'!E23,'IP Input Sheet'!F23)),"[Enter IP]")</x:f>
        <x:v>10.3.111.121</x:v>
      </x:c>
      <x:c r="E45" s="29" t="s">
        <x:v>423</x:v>
      </x:c>
      <x:c r="F45" s="29" t="str">
        <x:f>IFERROR(IF('IP Input Sheet'!D33&lt;&gt;"",'IP Input Sheet'!D33,IF('IP Input Sheet'!E33&lt;&gt;"",'IP Input Sheet'!E33,'IP Input Sheet'!F33)),"[Enter IP]")</x:f>
        <x:v>10.3.111.113</x:v>
      </x:c>
      <x:c r="G45" s="29" t="s">
        <x:v>417</x:v>
      </x:c>
      <x:c r="H45" s="29" t="s">
        <x:v>252</x:v>
      </x:c>
      <x:c r="I45" s="29" t="s">
        <x:v>418</x:v>
      </x:c>
      <x:c r="J45" s="24" t="s">
        <x:v>254</x:v>
      </x:c>
      <x:c r="K45" s="28" t="s">
        <x:v>255</x:v>
      </x:c>
      <x:c r="L45" s="29" t="s">
        <x:v>261</x:v>
      </x:c>
      <x:c r="M45" s="29" t="s">
        <x:v>424</x:v>
      </x:c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27" t="s">
        <x:v>425</x:v>
      </x:c>
      <x:c r="B46" s="27" t="s">
        <x:v>426</x:v>
      </x:c>
      <x:c r="C46" s="27" t="s">
        <x:v>427</x:v>
      </x:c>
      <x:c r="D46" s="27" t="str">
        <x:f>IFERROR(IF('IP Input Sheet'!D24&lt;&gt;"",'IP Input Sheet'!D24,IF('IP Input Sheet'!E24&lt;&gt;"",'IP Input Sheet'!E24,'IP Input Sheet'!F24)),"[Enter IP]")</x:f>
        <x:v>10.3.111.102</x:v>
      </x:c>
      <x:c r="E46" s="27" t="s">
        <x:v>416</x:v>
      </x:c>
      <x:c r="F46" s="27" t="str">
        <x:f>IFERROR(IF('IP Input Sheet'!D32&lt;&gt;"",'IP Input Sheet'!D32,IF('IP Input Sheet'!E32&lt;&gt;"",'IP Input Sheet'!E32,'IP Input Sheet'!F32)),"[Enter IP]")</x:f>
        <x:v>10.3.111.97</x:v>
      </x:c>
      <x:c r="G46" s="27" t="s">
        <x:v>417</x:v>
      </x:c>
      <x:c r="H46" s="27" t="s">
        <x:v>252</x:v>
      </x:c>
      <x:c r="I46" s="27" t="s">
        <x:v>418</x:v>
      </x:c>
      <x:c r="J46" s="24" t="s">
        <x:v>254</x:v>
      </x:c>
      <x:c r="K46" s="28" t="s">
        <x:v>255</x:v>
      </x:c>
      <x:c r="L46" s="27" t="s">
        <x:v>261</x:v>
      </x:c>
      <x:c r="M46" s="27" t="s">
        <x:v>428</x:v>
      </x:c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29" t="s">
        <x:v>429</x:v>
      </x:c>
      <x:c r="B47" s="29" t="s">
        <x:v>430</x:v>
      </x:c>
      <x:c r="C47" s="29" t="s">
        <x:v>431</x:v>
      </x:c>
      <x:c r="D47" s="29" t="str">
        <x:f>IFERROR(IF('IP Input Sheet'!D25&lt;&gt;"",'IP Input Sheet'!D25,IF('IP Input Sheet'!E25&lt;&gt;"",'IP Input Sheet'!E25,'IP Input Sheet'!F25)),"[Enter IP]")</x:f>
        <x:v>10.3.111.122</x:v>
      </x:c>
      <x:c r="E47" s="29" t="s">
        <x:v>423</x:v>
      </x:c>
      <x:c r="F47" s="29" t="str">
        <x:f>IFERROR(IF('IP Input Sheet'!D33&lt;&gt;"",'IP Input Sheet'!D33,IF('IP Input Sheet'!E33&lt;&gt;"",'IP Input Sheet'!E33,'IP Input Sheet'!F33)),"[Enter IP]")</x:f>
        <x:v>10.3.111.113</x:v>
      </x:c>
      <x:c r="G47" s="29" t="s">
        <x:v>417</x:v>
      </x:c>
      <x:c r="H47" s="29" t="s">
        <x:v>252</x:v>
      </x:c>
      <x:c r="I47" s="29" t="s">
        <x:v>418</x:v>
      </x:c>
      <x:c r="J47" s="24" t="s">
        <x:v>254</x:v>
      </x:c>
      <x:c r="K47" s="28" t="s">
        <x:v>255</x:v>
      </x:c>
      <x:c r="L47" s="29" t="s">
        <x:v>261</x:v>
      </x:c>
      <x:c r="M47" s="29" t="s">
        <x:v>432</x:v>
      </x:c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27" t="s">
        <x:v>433</x:v>
      </x:c>
      <x:c r="B48" s="27" t="s">
        <x:v>434</x:v>
      </x:c>
      <x:c r="C48" s="27" t="s">
        <x:v>435</x:v>
      </x:c>
      <x:c r="D48" s="27" t="str">
        <x:f>IFERROR(IF('IP Input Sheet'!D26&lt;&gt;"",'IP Input Sheet'!D26,IF('IP Input Sheet'!E26&lt;&gt;"",'IP Input Sheet'!E26,'IP Input Sheet'!F26)),"[Enter IP]")</x:f>
        <x:v>10.3.111.133</x:v>
      </x:c>
      <x:c r="E48" s="27" t="s">
        <x:v>436</x:v>
      </x:c>
      <x:c r="F48" s="27" t="str">
        <x:f>IFERROR(IF('IP Input Sheet'!D34&lt;&gt;"",'IP Input Sheet'!D34,IF('IP Input Sheet'!E34&lt;&gt;"",'IP Input Sheet'!E34,'IP Input Sheet'!F34)),"[Enter IP]")</x:f>
        <x:v>10.3.111.129</x:v>
      </x:c>
      <x:c r="G48" s="27" t="s">
        <x:v>417</x:v>
      </x:c>
      <x:c r="H48" s="27" t="s">
        <x:v>252</x:v>
      </x:c>
      <x:c r="I48" s="27" t="s">
        <x:v>418</x:v>
      </x:c>
      <x:c r="J48" s="24" t="s">
        <x:v>254</x:v>
      </x:c>
      <x:c r="K48" s="28" t="s">
        <x:v>255</x:v>
      </x:c>
      <x:c r="L48" s="27" t="s">
        <x:v>261</x:v>
      </x:c>
      <x:c r="M48" s="27" t="s">
        <x:v>437</x:v>
      </x:c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29" t="s">
        <x:v>438</x:v>
      </x:c>
      <x:c r="B49" s="29" t="s">
        <x:v>439</x:v>
      </x:c>
      <x:c r="C49" s="29" t="s">
        <x:v>440</x:v>
      </x:c>
      <x:c r="D49" s="29" t="str">
        <x:f>IFERROR(IF('IP Input Sheet'!D27&lt;&gt;"",'IP Input Sheet'!D27,IF('IP Input Sheet'!E27&lt;&gt;"",'IP Input Sheet'!E27,'IP Input Sheet'!F27)),"[Enter IP]")</x:f>
        <x:v>10.3.111.153</x:v>
      </x:c>
      <x:c r="E49" s="29" t="s">
        <x:v>441</x:v>
      </x:c>
      <x:c r="F49" s="29" t="str">
        <x:f>IFERROR(IF('IP Input Sheet'!D35&lt;&gt;"",'IP Input Sheet'!D35,IF('IP Input Sheet'!E35&lt;&gt;"",'IP Input Sheet'!E35,'IP Input Sheet'!F35)),"[Enter IP]")</x:f>
        <x:v>[Enter IP]</x:v>
      </x:c>
      <x:c r="G49" s="29" t="s">
        <x:v>417</x:v>
      </x:c>
      <x:c r="H49" s="29" t="s">
        <x:v>252</x:v>
      </x:c>
      <x:c r="I49" s="29" t="s">
        <x:v>418</x:v>
      </x:c>
      <x:c r="J49" s="24" t="s">
        <x:v>254</x:v>
      </x:c>
      <x:c r="K49" s="28" t="s">
        <x:v>255</x:v>
      </x:c>
      <x:c r="L49" s="29" t="s">
        <x:v>261</x:v>
      </x:c>
      <x:c r="M49" s="29" t="s">
        <x:v>442</x:v>
      </x:c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27" t="s">
        <x:v>443</x:v>
      </x:c>
      <x:c r="B50" s="27" t="s">
        <x:v>444</x:v>
      </x:c>
      <x:c r="C50" s="27" t="s">
        <x:v>445</x:v>
      </x:c>
      <x:c r="D50" s="27" t="str">
        <x:f>IFERROR(IF('IP Input Sheet'!D28&lt;&gt;"",'IP Input Sheet'!D28,IF('IP Input Sheet'!E28&lt;&gt;"",'IP Input Sheet'!E28,'IP Input Sheet'!F28)),"[Enter IP]")</x:f>
        <x:v>10.3.111.134</x:v>
      </x:c>
      <x:c r="E50" s="27" t="s">
        <x:v>436</x:v>
      </x:c>
      <x:c r="F50" s="27" t="str">
        <x:f>IFERROR(IF('IP Input Sheet'!D34&lt;&gt;"",'IP Input Sheet'!D34,IF('IP Input Sheet'!E34&lt;&gt;"",'IP Input Sheet'!E34,'IP Input Sheet'!F34)),"[Enter IP]")</x:f>
        <x:v>10.3.111.129</x:v>
      </x:c>
      <x:c r="G50" s="27" t="s">
        <x:v>417</x:v>
      </x:c>
      <x:c r="H50" s="27" t="s">
        <x:v>252</x:v>
      </x:c>
      <x:c r="I50" s="27" t="s">
        <x:v>418</x:v>
      </x:c>
      <x:c r="J50" s="24" t="s">
        <x:v>254</x:v>
      </x:c>
      <x:c r="K50" s="28" t="s">
        <x:v>255</x:v>
      </x:c>
      <x:c r="L50" s="27" t="s">
        <x:v>261</x:v>
      </x:c>
      <x:c r="M50" s="27" t="s">
        <x:v>446</x:v>
      </x:c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29" t="s">
        <x:v>447</x:v>
      </x:c>
      <x:c r="B51" s="29" t="s">
        <x:v>448</x:v>
      </x:c>
      <x:c r="C51" s="29" t="s">
        <x:v>449</x:v>
      </x:c>
      <x:c r="D51" s="29" t="str">
        <x:f>IFERROR(IF('IP Input Sheet'!D29&lt;&gt;"",'IP Input Sheet'!D29,IF('IP Input Sheet'!E29&lt;&gt;"",'IP Input Sheet'!E29,'IP Input Sheet'!F29)),"[Enter IP]")</x:f>
        <x:v>10.3.111.154</x:v>
      </x:c>
      <x:c r="E51" s="29" t="s">
        <x:v>441</x:v>
      </x:c>
      <x:c r="F51" s="29" t="str">
        <x:f>IFERROR(IF('IP Input Sheet'!D35&lt;&gt;"",'IP Input Sheet'!D35,IF('IP Input Sheet'!E35&lt;&gt;"",'IP Input Sheet'!E35,'IP Input Sheet'!F35)),"[Enter IP]")</x:f>
        <x:v>[Enter IP]</x:v>
      </x:c>
      <x:c r="G51" s="29" t="s">
        <x:v>417</x:v>
      </x:c>
      <x:c r="H51" s="29" t="s">
        <x:v>252</x:v>
      </x:c>
      <x:c r="I51" s="29" t="s">
        <x:v>418</x:v>
      </x:c>
      <x:c r="J51" s="24" t="s">
        <x:v>254</x:v>
      </x:c>
      <x:c r="K51" s="28" t="s">
        <x:v>255</x:v>
      </x:c>
      <x:c r="L51" s="29" t="s">
        <x:v>261</x:v>
      </x:c>
      <x:c r="M51" s="29" t="s">
        <x:v>450</x:v>
      </x:c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27" t="s">
        <x:v>451</x:v>
      </x:c>
      <x:c r="B52" s="27" t="s">
        <x:v>452</x:v>
      </x:c>
      <x:c r="C52" s="27" t="s">
        <x:v>453</x:v>
      </x:c>
      <x:c r="D52" s="27" t="str">
        <x:f>IFERROR(IF('IP Input Sheet'!D30&lt;&gt;"",'IP Input Sheet'!D30,IF('IP Input Sheet'!E30&lt;&gt;"",'IP Input Sheet'!E30,'IP Input Sheet'!F30)),"[Enter IP]")</x:f>
        <x:v>10.5.236.0/24</x:v>
      </x:c>
      <x:c r="E52" s="27" t="s">
        <x:v>454</x:v>
      </x:c>
      <x:c r="F52" s="27" t="str">
        <x:f>IFERROR(IF('IP Input Sheet'!D18&lt;&gt;"",'IP Input Sheet'!D18,IF('IP Input Sheet'!E18&lt;&gt;"",'IP Input Sheet'!E18,'IP Input Sheet'!F18)),"[Enter IP]")</x:f>
        <x:v>10.3.118.0/24</x:v>
      </x:c>
      <x:c r="G52" s="27" t="s">
        <x:v>455</x:v>
      </x:c>
      <x:c r="H52" s="27" t="s">
        <x:v>278</x:v>
      </x:c>
      <x:c r="I52" s="27" t="s">
        <x:v>456</x:v>
      </x:c>
      <x:c r="J52" s="24" t="s">
        <x:v>254</x:v>
      </x:c>
      <x:c r="K52" s="28" t="s">
        <x:v>255</x:v>
      </x:c>
      <x:c r="L52" s="27" t="s">
        <x:v>261</x:v>
      </x:c>
      <x:c r="M52" s="27" t="s">
        <x:v>457</x:v>
      </x:c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29" t="s">
        <x:v>458</x:v>
      </x:c>
      <x:c r="B53" s="29" t="s">
        <x:v>459</x:v>
      </x:c>
      <x:c r="C53" s="29" t="s">
        <x:v>453</x:v>
      </x:c>
      <x:c r="D53" s="29" t="str">
        <x:f>IFERROR(IF('IP Input Sheet'!D30&lt;&gt;"",'IP Input Sheet'!D30,IF('IP Input Sheet'!E30&lt;&gt;"",'IP Input Sheet'!E30,'IP Input Sheet'!F30)),"[Enter IP]")</x:f>
        <x:v>10.5.236.0/24</x:v>
      </x:c>
      <x:c r="E53" s="29" t="s">
        <x:v>460</x:v>
      </x:c>
      <x:c r="F53" s="29" t="str">
        <x:f>IFERROR(IF('IP Input Sheet'!D30&lt;&gt;"",'IP Input Sheet'!D30,IF('IP Input Sheet'!E30&lt;&gt;"",'IP Input Sheet'!E30,'IP Input Sheet'!F30)),"[Enter IP]")</x:f>
        <x:v>10.5.236.0/24</x:v>
      </x:c>
      <x:c r="G53" s="29" t="s">
        <x:v>455</x:v>
      </x:c>
      <x:c r="H53" s="29" t="s">
        <x:v>278</x:v>
      </x:c>
      <x:c r="I53" s="29" t="s">
        <x:v>461</x:v>
      </x:c>
      <x:c r="J53" s="24" t="s">
        <x:v>254</x:v>
      </x:c>
      <x:c r="K53" s="28" t="s">
        <x:v>255</x:v>
      </x:c>
      <x:c r="L53" s="29" t="s">
        <x:v>261</x:v>
      </x:c>
      <x:c r="M53" s="29" t="s">
        <x:v>462</x:v>
      </x:c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27" t="s">
        <x:v>463</x:v>
      </x:c>
      <x:c r="B54" s="27" t="s">
        <x:v>464</x:v>
      </x:c>
      <x:c r="C54" s="27" t="s">
        <x:v>465</x:v>
      </x:c>
      <x:c r="D54" s="27" t="str">
        <x:f>IFERROR(IF('IP Input Sheet'!D31&lt;&gt;"",'IP Input Sheet'!D31,IF('IP Input Sheet'!E31&lt;&gt;"",'IP Input Sheet'!E31,'IP Input Sheet'!F31)),"[Enter IP]")</x:f>
        <x:v>10.5.22.0/24</x:v>
      </x:c>
      <x:c r="E54" s="27" t="s">
        <x:v>466</x:v>
      </x:c>
      <x:c r="F54" s="27" t="str">
        <x:f>IFERROR(IF('IP Input Sheet'!D31&lt;&gt;"",'IP Input Sheet'!D31,IF('IP Input Sheet'!E31&lt;&gt;"",'IP Input Sheet'!E31,'IP Input Sheet'!F31)),"[Enter IP]")</x:f>
        <x:v>10.5.22.0/24</x:v>
      </x:c>
      <x:c r="G54" s="27" t="s">
        <x:v>455</x:v>
      </x:c>
      <x:c r="H54" s="27" t="s">
        <x:v>278</x:v>
      </x:c>
      <x:c r="I54" s="27" t="s">
        <x:v>467</x:v>
      </x:c>
      <x:c r="J54" s="24" t="s">
        <x:v>254</x:v>
      </x:c>
      <x:c r="K54" s="28" t="s">
        <x:v>255</x:v>
      </x:c>
      <x:c r="L54" s="27" t="s">
        <x:v>261</x:v>
      </x:c>
      <x:c r="M54" s="27" t="s">
        <x:v>468</x:v>
      </x:c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29" t="s">
        <x:v>469</x:v>
      </x:c>
      <x:c r="B55" s="29" t="s">
        <x:v>470</x:v>
      </x:c>
      <x:c r="C55" s="29" t="s">
        <x:v>471</x:v>
      </x:c>
      <x:c r="D55" s="29" t="str">
        <x:f>IFERROR(IF('IP Input Sheet'!D22&lt;&gt;"",'IP Input Sheet'!D22,IF('IP Input Sheet'!E22&lt;&gt;"",'IP Input Sheet'!E22,'IP Input Sheet'!F22)),"[Enter IP]")</x:f>
        <x:v>10.3.111.101</x:v>
      </x:c>
      <x:c r="E55" s="29" t="s">
        <x:v>472</x:v>
      </x:c>
      <x:c r="F55" s="29" t="str">
        <x:f>IFERROR(IF('IP Input Sheet'!D32&lt;&gt;"",'IP Input Sheet'!D32,IF('IP Input Sheet'!E32&lt;&gt;"",'IP Input Sheet'!E32,'IP Input Sheet'!F32)),"[Enter IP]")</x:f>
        <x:v>10.3.111.97</x:v>
      </x:c>
      <x:c r="G55" s="29" t="s">
        <x:v>473</x:v>
      </x:c>
      <x:c r="H55" s="29" t="s">
        <x:v>278</x:v>
      </x:c>
      <x:c r="I55" s="29" t="s">
        <x:v>474</x:v>
      </x:c>
      <x:c r="J55" s="24" t="s">
        <x:v>254</x:v>
      </x:c>
      <x:c r="K55" s="28" t="s">
        <x:v>255</x:v>
      </x:c>
      <x:c r="L55" s="29" t="s">
        <x:v>261</x:v>
      </x:c>
      <x:c r="M55" s="29" t="s">
        <x:v>419</x:v>
      </x:c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27" t="s">
        <x:v>475</x:v>
      </x:c>
      <x:c r="B56" s="27" t="s">
        <x:v>476</x:v>
      </x:c>
      <x:c r="C56" s="27" t="s">
        <x:v>477</x:v>
      </x:c>
      <x:c r="D56" s="27" t="str">
        <x:f>IFERROR(IF('IP Input Sheet'!D23&lt;&gt;"",'IP Input Sheet'!D23,IF('IP Input Sheet'!E23&lt;&gt;"",'IP Input Sheet'!E23,'IP Input Sheet'!F23)),"[Enter IP]")</x:f>
        <x:v>10.3.111.121</x:v>
      </x:c>
      <x:c r="E56" s="27" t="s">
        <x:v>478</x:v>
      </x:c>
      <x:c r="F56" s="27" t="str">
        <x:f>IFERROR(IF('IP Input Sheet'!D33&lt;&gt;"",'IP Input Sheet'!D33,IF('IP Input Sheet'!E33&lt;&gt;"",'IP Input Sheet'!E33,'IP Input Sheet'!F33)),"[Enter IP]")</x:f>
        <x:v>10.3.111.113</x:v>
      </x:c>
      <x:c r="G56" s="27" t="s">
        <x:v>473</x:v>
      </x:c>
      <x:c r="H56" s="27" t="s">
        <x:v>278</x:v>
      </x:c>
      <x:c r="I56" s="27" t="s">
        <x:v>474</x:v>
      </x:c>
      <x:c r="J56" s="24" t="s">
        <x:v>254</x:v>
      </x:c>
      <x:c r="K56" s="28" t="s">
        <x:v>255</x:v>
      </x:c>
      <x:c r="L56" s="27" t="s">
        <x:v>261</x:v>
      </x:c>
      <x:c r="M56" s="27" t="s">
        <x:v>424</x:v>
      </x:c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29" t="s">
        <x:v>479</x:v>
      </x:c>
      <x:c r="B57" s="29" t="s">
        <x:v>480</x:v>
      </x:c>
      <x:c r="C57" s="29" t="s">
        <x:v>481</x:v>
      </x:c>
      <x:c r="D57" s="29" t="str">
        <x:f>IFERROR(IF('IP Input Sheet'!D26&lt;&gt;"",'IP Input Sheet'!D26,IF('IP Input Sheet'!E26&lt;&gt;"",'IP Input Sheet'!E26,'IP Input Sheet'!F26)),"[Enter IP]")</x:f>
        <x:v>10.3.111.133</x:v>
      </x:c>
      <x:c r="E57" s="29" t="s">
        <x:v>482</x:v>
      </x:c>
      <x:c r="F57" s="29" t="str">
        <x:f>IFERROR(IF('IP Input Sheet'!D34&lt;&gt;"",'IP Input Sheet'!D34,IF('IP Input Sheet'!E34&lt;&gt;"",'IP Input Sheet'!E34,'IP Input Sheet'!F34)),"[Enter IP]")</x:f>
        <x:v>10.3.111.129</x:v>
      </x:c>
      <x:c r="G57" s="29" t="s">
        <x:v>473</x:v>
      </x:c>
      <x:c r="H57" s="29" t="s">
        <x:v>278</x:v>
      </x:c>
      <x:c r="I57" s="29" t="s">
        <x:v>474</x:v>
      </x:c>
      <x:c r="J57" s="24" t="s">
        <x:v>254</x:v>
      </x:c>
      <x:c r="K57" s="28" t="s">
        <x:v>255</x:v>
      </x:c>
      <x:c r="L57" s="29" t="s">
        <x:v>261</x:v>
      </x:c>
      <x:c r="M57" s="29" t="s">
        <x:v>437</x:v>
      </x:c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27" t="s">
        <x:v>483</x:v>
      </x:c>
      <x:c r="B58" s="27" t="s">
        <x:v>484</x:v>
      </x:c>
      <x:c r="C58" s="27" t="s">
        <x:v>485</x:v>
      </x:c>
      <x:c r="D58" s="27" t="str">
        <x:f>IFERROR(IF('IP Input Sheet'!D27&lt;&gt;"",'IP Input Sheet'!D27,IF('IP Input Sheet'!E27&lt;&gt;"",'IP Input Sheet'!E27,'IP Input Sheet'!F27)),"[Enter IP]")</x:f>
        <x:v>10.3.111.153</x:v>
      </x:c>
      <x:c r="E58" s="27" t="s">
        <x:v>486</x:v>
      </x:c>
      <x:c r="F58" s="27" t="str">
        <x:f>IFERROR(IF('IP Input Sheet'!D35&lt;&gt;"",'IP Input Sheet'!D35,IF('IP Input Sheet'!E35&lt;&gt;"",'IP Input Sheet'!E35,'IP Input Sheet'!F35)),"[Enter IP]")</x:f>
        <x:v>[Enter IP]</x:v>
      </x:c>
      <x:c r="G58" s="27" t="s">
        <x:v>473</x:v>
      </x:c>
      <x:c r="H58" s="27" t="s">
        <x:v>278</x:v>
      </x:c>
      <x:c r="I58" s="27" t="s">
        <x:v>474</x:v>
      </x:c>
      <x:c r="J58" s="24" t="s">
        <x:v>254</x:v>
      </x:c>
      <x:c r="K58" s="28" t="s">
        <x:v>255</x:v>
      </x:c>
      <x:c r="L58" s="27" t="s">
        <x:v>261</x:v>
      </x:c>
      <x:c r="M58" s="27" t="s">
        <x:v>442</x:v>
      </x:c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30" t="s">
        <x:v>487</x:v>
      </x:c>
      <x:c r="B59" s="30" t="s">
        <x:v>488</x:v>
      </x:c>
      <x:c r="C59" s="30" t="s">
        <x:v>471</x:v>
      </x:c>
      <x:c r="D59" s="30" t="str">
        <x:f>IFERROR(IF('IP Input Sheet'!D22&lt;&gt;"",'IP Input Sheet'!D22,IF('IP Input Sheet'!E22&lt;&gt;"",'IP Input Sheet'!E22,'IP Input Sheet'!F22)),"[Enter IP]")</x:f>
        <x:v>10.3.111.101</x:v>
      </x:c>
      <x:c r="E59" s="30" t="s">
        <x:v>472</x:v>
      </x:c>
      <x:c r="F59" s="30" t="str">
        <x:f>IFERROR(IF('IP Input Sheet'!D32&lt;&gt;"",'IP Input Sheet'!D32,IF('IP Input Sheet'!E32&lt;&gt;"",'IP Input Sheet'!E32,'IP Input Sheet'!F32)),"[Enter IP]")</x:f>
        <x:v>10.3.111.97</x:v>
      </x:c>
      <x:c r="G59" s="30" t="s">
        <x:v>489</x:v>
      </x:c>
      <x:c r="H59" s="30" t="s">
        <x:v>278</x:v>
      </x:c>
      <x:c r="I59" s="30" t="s">
        <x:v>490</x:v>
      </x:c>
      <x:c r="J59" s="24" t="s">
        <x:v>254</x:v>
      </x:c>
      <x:c r="K59" s="30" t="s">
        <x:v>255</x:v>
      </x:c>
      <x:c r="L59" s="30" t="s">
        <x:v>261</x:v>
      </x:c>
      <x:c r="M59" s="31" t="s">
        <x:v>491</x:v>
      </x:c>
      <x:c r="N59" s="32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30" t="s">
        <x:v>492</x:v>
      </x:c>
      <x:c r="B60" s="30" t="s">
        <x:v>493</x:v>
      </x:c>
      <x:c r="C60" s="30" t="s">
        <x:v>477</x:v>
      </x:c>
      <x:c r="D60" s="30" t="str">
        <x:f>IFERROR(IF('IP Input Sheet'!D23&lt;&gt;"",'IP Input Sheet'!D23,IF('IP Input Sheet'!E23&lt;&gt;"",'IP Input Sheet'!E23,'IP Input Sheet'!F23)),"[Enter IP]")</x:f>
        <x:v>10.3.111.121</x:v>
      </x:c>
      <x:c r="E60" s="30" t="s">
        <x:v>478</x:v>
      </x:c>
      <x:c r="F60" s="30" t="str">
        <x:f>IFERROR(IF('IP Input Sheet'!D33&lt;&gt;"",'IP Input Sheet'!D33,IF('IP Input Sheet'!E33&lt;&gt;"",'IP Input Sheet'!E33,'IP Input Sheet'!F33)),"[Enter IP]")</x:f>
        <x:v>10.3.111.113</x:v>
      </x:c>
      <x:c r="G60" s="30" t="s">
        <x:v>489</x:v>
      </x:c>
      <x:c r="H60" s="30" t="s">
        <x:v>278</x:v>
      </x:c>
      <x:c r="I60" s="30" t="s">
        <x:v>490</x:v>
      </x:c>
      <x:c r="J60" s="24" t="s">
        <x:v>254</x:v>
      </x:c>
      <x:c r="K60" s="30" t="s">
        <x:v>255</x:v>
      </x:c>
      <x:c r="L60" s="30" t="s">
        <x:v>261</x:v>
      </x:c>
      <x:c r="M60" s="31" t="s">
        <x:v>494</x:v>
      </x:c>
      <x:c r="N60" s="32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30" t="s">
        <x:v>495</x:v>
      </x:c>
      <x:c r="B61" s="30" t="s">
        <x:v>496</x:v>
      </x:c>
      <x:c r="C61" s="30" t="s">
        <x:v>481</x:v>
      </x:c>
      <x:c r="D61" s="30" t="str">
        <x:f>IFERROR(IF('IP Input Sheet'!D26&lt;&gt;"",'IP Input Sheet'!D26,IF('IP Input Sheet'!E26&lt;&gt;"",'IP Input Sheet'!E26,'IP Input Sheet'!F26)),"[Enter IP]")</x:f>
        <x:v>10.3.111.133</x:v>
      </x:c>
      <x:c r="E61" s="30" t="s">
        <x:v>482</x:v>
      </x:c>
      <x:c r="F61" s="30" t="str">
        <x:f>IFERROR(IF('IP Input Sheet'!D34&lt;&gt;"",'IP Input Sheet'!D34,IF('IP Input Sheet'!E34&lt;&gt;"",'IP Input Sheet'!E34,'IP Input Sheet'!F34)),"[Enter IP]")</x:f>
        <x:v>10.3.111.129</x:v>
      </x:c>
      <x:c r="G61" s="30" t="s">
        <x:v>489</x:v>
      </x:c>
      <x:c r="H61" s="30" t="s">
        <x:v>278</x:v>
      </x:c>
      <x:c r="I61" s="30" t="s">
        <x:v>490</x:v>
      </x:c>
      <x:c r="J61" s="24" t="s">
        <x:v>254</x:v>
      </x:c>
      <x:c r="K61" s="30" t="s">
        <x:v>255</x:v>
      </x:c>
      <x:c r="L61" s="30" t="s">
        <x:v>261</x:v>
      </x:c>
      <x:c r="M61" s="31" t="s">
        <x:v>497</x:v>
      </x:c>
      <x:c r="N61" s="32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30" t="s">
        <x:v>498</x:v>
      </x:c>
      <x:c r="B62" s="30" t="s">
        <x:v>499</x:v>
      </x:c>
      <x:c r="C62" s="30" t="s">
        <x:v>485</x:v>
      </x:c>
      <x:c r="D62" s="30" t="str">
        <x:f>IFERROR(IF('IP Input Sheet'!D27&lt;&gt;"",'IP Input Sheet'!D27,IF('IP Input Sheet'!E27&lt;&gt;"",'IP Input Sheet'!E27,'IP Input Sheet'!F27)),"[Enter IP]")</x:f>
        <x:v>10.3.111.153</x:v>
      </x:c>
      <x:c r="E62" s="30" t="s">
        <x:v>486</x:v>
      </x:c>
      <x:c r="F62" s="30" t="str">
        <x:f>IFERROR(IF('IP Input Sheet'!D35&lt;&gt;"",'IP Input Sheet'!D35,IF('IP Input Sheet'!E35&lt;&gt;"",'IP Input Sheet'!E35,'IP Input Sheet'!F35)),"[Enter IP]")</x:f>
        <x:v>[Enter IP]</x:v>
      </x:c>
      <x:c r="G62" s="30" t="s">
        <x:v>489</x:v>
      </x:c>
      <x:c r="H62" s="30" t="s">
        <x:v>278</x:v>
      </x:c>
      <x:c r="I62" s="30" t="s">
        <x:v>490</x:v>
      </x:c>
      <x:c r="J62" s="24" t="s">
        <x:v>254</x:v>
      </x:c>
      <x:c r="K62" s="30" t="s">
        <x:v>255</x:v>
      </x:c>
      <x:c r="L62" s="30" t="s">
        <x:v>261</x:v>
      </x:c>
      <x:c r="M62" s="31" t="s">
        <x:v>500</x:v>
      </x:c>
      <x:c r="N62" s="32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30" customHeight="1">
      <x:c r="A63" s="30" t="s">
        <x:v>501</x:v>
      </x:c>
      <x:c r="B63" s="30" t="s">
        <x:v>502</x:v>
      </x:c>
      <x:c r="C63" s="30" t="s">
        <x:v>503</x:v>
      </x:c>
      <x:c r="D63" s="30" t="str">
        <x:f>IFERROR(IF('IP Input Sheet'!D30&lt;&gt;"",'IP Input Sheet'!D30,IF('IP Input Sheet'!E30&lt;&gt;"",'IP Input Sheet'!E30,'IP Input Sheet'!F30)),"[Enter IP]")</x:f>
        <x:v>10.5.236.0/24</x:v>
      </x:c>
      <x:c r="E63" s="30" t="s">
        <x:v>504</x:v>
      </x:c>
      <x:c r="F63" s="30" t="str">
        <x:f>IFERROR(IF('IP Input Sheet'!E30&lt;&gt;"",'IP Input Sheet'!E30,IF('IP Input Sheet'!D30&lt;&gt;"",'IP Input Sheet'!D30,'IP Input Sheet'!F30)),"[Enter IP]")</x:f>
        <x:v>10.5.248.0/24</x:v>
      </x:c>
      <x:c r="G63" s="30" t="s">
        <x:v>505</x:v>
      </x:c>
      <x:c r="H63" s="30" t="s">
        <x:v>278</x:v>
      </x:c>
      <x:c r="I63" s="30" t="s">
        <x:v>506</x:v>
      </x:c>
      <x:c r="J63" s="24" t="s">
        <x:v>254</x:v>
      </x:c>
      <x:c r="K63" s="30" t="s">
        <x:v>255</x:v>
      </x:c>
      <x:c r="L63" s="30" t="s">
        <x:v>261</x:v>
      </x:c>
      <x:c r="M63" s="31" t="s">
        <x:v>507</x:v>
      </x:c>
      <x:c r="N63" s="32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15"/>
      <x:c r="B64" s="15"/>
      <x:c r="C64" s="15"/>
      <x:c r="D64" s="15" t="str">
        <x:f>IFERROR(IF('IP Input Sheet'!D27&lt;&gt;"",'IP Input Sheet'!D27,IF('IP Input Sheet'!E27&lt;&gt;"",'IP Input Sheet'!E27,'IP Input Sheet'!F27)),"[Enter IP]")</x:f>
        <x:v>10.3.111.153</x:v>
      </x:c>
      <x:c r="E64" s="15"/>
      <x:c r="F64" s="15" t="str">
        <x:f>IFERROR(IF('IP Input Sheet'!D35&lt;&gt;"",'IP Input Sheet'!D35,IF('IP Input Sheet'!E35&lt;&gt;"",'IP Input Sheet'!E35,'IP Input Sheet'!F35)),"[Enter IP]")</x:f>
        <x:v>[Enter IP]</x:v>
      </x:c>
      <x:c r="G64" s="15"/>
      <x:c r="H64" s="15"/>
      <x:c r="I64" s="15"/>
      <x:c r="J64" s="15"/>
      <x:c r="K64" s="15"/>
      <x:c r="L64" s="15"/>
      <x:c r="M64" s="15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9.5" customHeight="1">
      <x:c r="A65" s="11" t="s">
        <x:v>508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3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33" t="s">
        <x:v>509</x:v>
      </x:c>
      <x:c r="B66" s="33" t="s">
        <x:v>510</x:v>
      </x:c>
      <x:c r="C66" s="34" t="s">
        <x:v>511</x:v>
      </x:c>
      <x:c r="D66" s="34" t="str">
        <x:f>IFERROR(IF('IP Input Sheet'!D15&lt;&gt;"",'IP Input Sheet'!D15,IF('IP Input Sheet'!E15&lt;&gt;"",'IP Input Sheet'!E15,'IP Input Sheet'!F15)),"[Enter IP]")</x:f>
        <x:v>10.3.118.0/24</x:v>
      </x:c>
      <x:c r="E66" s="34" t="s">
        <x:v>512</x:v>
      </x:c>
      <x:c r="F66" s="34" t="str">
        <x:f>IFERROR(IF('IP Input Sheet'!D14&lt;&gt;"",'IP Input Sheet'!D14,IF('IP Input Sheet'!E14&lt;&gt;"",'IP Input Sheet'!E14,'IP Input Sheet'!F14)),"[Enter IP]")</x:f>
        <x:v>10.3.118.0/24</x:v>
      </x:c>
      <x:c r="G66" s="34" t="s">
        <x:v>251</x:v>
      </x:c>
      <x:c r="H66" s="34" t="s">
        <x:v>252</x:v>
      </x:c>
      <x:c r="I66" s="34" t="s">
        <x:v>513</x:v>
      </x:c>
      <x:c r="J66" s="24" t="s">
        <x:v>254</x:v>
      </x:c>
      <x:c r="K66" s="28" t="s">
        <x:v>255</x:v>
      </x:c>
      <x:c r="L66" s="34" t="s">
        <x:v>256</x:v>
      </x:c>
      <x:c r="M66" s="34" t="s">
        <x:v>514</x:v>
      </x:c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33" t="s">
        <x:v>515</x:v>
      </x:c>
      <x:c r="B67" s="33" t="s">
        <x:v>516</x:v>
      </x:c>
      <x:c r="C67" s="34" t="s">
        <x:v>511</x:v>
      </x:c>
      <x:c r="D67" s="34" t="str">
        <x:f>IFERROR(IF('IP Input Sheet'!D15&lt;&gt;"",'IP Input Sheet'!D15,IF('IP Input Sheet'!E15&lt;&gt;"",'IP Input Sheet'!E15,'IP Input Sheet'!F15)),"[Enter IP]")</x:f>
        <x:v>10.3.118.0/24</x:v>
      </x:c>
      <x:c r="E67" s="34" t="s">
        <x:v>512</x:v>
      </x:c>
      <x:c r="F67" s="34" t="str">
        <x:f>IFERROR(IF('IP Input Sheet'!D14&lt;&gt;"",'IP Input Sheet'!D14,IF('IP Input Sheet'!E14&lt;&gt;"",'IP Input Sheet'!E14,'IP Input Sheet'!F14)),"[Enter IP]")</x:f>
        <x:v>10.3.118.0/24</x:v>
      </x:c>
      <x:c r="G67" s="34" t="s">
        <x:v>517</x:v>
      </x:c>
      <x:c r="H67" s="34" t="s">
        <x:v>252</x:v>
      </x:c>
      <x:c r="I67" s="34" t="s">
        <x:v>518</x:v>
      </x:c>
      <x:c r="J67" s="24" t="s">
        <x:v>254</x:v>
      </x:c>
      <x:c r="K67" s="28" t="s">
        <x:v>255</x:v>
      </x:c>
      <x:c r="L67" s="34" t="s">
        <x:v>256</x:v>
      </x:c>
      <x:c r="M67" s="34" t="s">
        <x:v>519</x:v>
      </x:c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33" t="s">
        <x:v>520</x:v>
      </x:c>
      <x:c r="B68" s="33" t="s">
        <x:v>521</x:v>
      </x:c>
      <x:c r="C68" s="34" t="s">
        <x:v>522</x:v>
      </x:c>
      <x:c r="D68" s="34" t="str">
        <x:f>IFERROR(IF('IP Input Sheet'!D22&lt;&gt;"",'IP Input Sheet'!D22,IF('IP Input Sheet'!E22&lt;&gt;"",'IP Input Sheet'!E22,'IP Input Sheet'!F22)),"[Enter IP]")</x:f>
        <x:v>10.3.111.101</x:v>
      </x:c>
      <x:c r="E68" s="34" t="s">
        <x:v>523</x:v>
      </x:c>
      <x:c r="F68" s="34" t="str">
        <x:f>IFERROR(IF('IP Input Sheet'!D26&lt;&gt;"",'IP Input Sheet'!D26,IF('IP Input Sheet'!E26&lt;&gt;"",'IP Input Sheet'!E26,'IP Input Sheet'!F26)),"[Enter IP]")</x:f>
        <x:v>10.3.111.133</x:v>
      </x:c>
      <x:c r="G68" s="34" t="s">
        <x:v>417</x:v>
      </x:c>
      <x:c r="H68" s="34" t="s">
        <x:v>252</x:v>
      </x:c>
      <x:c r="I68" s="34" t="s">
        <x:v>524</x:v>
      </x:c>
      <x:c r="J68" s="24" t="s">
        <x:v>254</x:v>
      </x:c>
      <x:c r="K68" s="28" t="s">
        <x:v>255</x:v>
      </x:c>
      <x:c r="L68" s="34" t="s">
        <x:v>261</x:v>
      </x:c>
      <x:c r="M68" s="34" t="s">
        <x:v>525</x:v>
      </x:c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27" t="s">
        <x:v>515</x:v>
      </x:c>
      <x:c r="B69" s="35" t="s">
        <x:v>526</x:v>
      </x:c>
      <x:c r="C69" s="27" t="s">
        <x:v>511</x:v>
      </x:c>
      <x:c r="D69" s="27" t="str">
        <x:f>IFERROR(IF('IP Input Sheet'!D15&lt;&gt;"",'IP Input Sheet'!D15,IF('IP Input Sheet'!E15&lt;&gt;"",'IP Input Sheet'!E15,'IP Input Sheet'!F15)),"[Enter IP]")</x:f>
        <x:v>10.3.118.0/24</x:v>
      </x:c>
      <x:c r="E69" s="27" t="s">
        <x:v>527</x:v>
      </x:c>
      <x:c r="F69" s="27" t="str">
        <x:f>IFERROR(IF('IP Input Sheet'!D14&lt;&gt;"",'IP Input Sheet'!D14,IF('IP Input Sheet'!E14&lt;&gt;"",'IP Input Sheet'!E14,'IP Input Sheet'!F14)),"[Enter IP]")</x:f>
        <x:v>10.3.118.0/24</x:v>
      </x:c>
      <x:c r="G69" s="27" t="s">
        <x:v>517</x:v>
      </x:c>
      <x:c r="H69" s="27" t="s">
        <x:v>252</x:v>
      </x:c>
      <x:c r="I69" s="27" t="s">
        <x:v>528</x:v>
      </x:c>
      <x:c r="J69" s="24" t="s">
        <x:v>254</x:v>
      </x:c>
      <x:c r="K69" s="28" t="s">
        <x:v>255</x:v>
      </x:c>
      <x:c r="L69" s="27" t="s">
        <x:v>261</x:v>
      </x:c>
      <x:c r="M69" s="27" t="s">
        <x:v>529</x:v>
      </x:c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29" t="s">
        <x:v>520</x:v>
      </x:c>
      <x:c r="B70" s="29" t="s">
        <x:v>530</x:v>
      </x:c>
      <x:c r="C70" s="29" t="s">
        <x:v>531</x:v>
      </x:c>
      <x:c r="D70" s="29" t="str">
        <x:f>IFERROR(IF('IP Input Sheet'!D22&lt;&gt;"",'IP Input Sheet'!D22,IF('IP Input Sheet'!E22&lt;&gt;"",'IP Input Sheet'!E22,'IP Input Sheet'!F22)),"[Enter IP]")</x:f>
        <x:v>10.3.111.101</x:v>
      </x:c>
      <x:c r="E70" s="29" t="s">
        <x:v>532</x:v>
      </x:c>
      <x:c r="F70" s="29" t="str">
        <x:f>IFERROR(IF('IP Input Sheet'!D26&lt;&gt;"",'IP Input Sheet'!D26,IF('IP Input Sheet'!E26&lt;&gt;"",'IP Input Sheet'!E26,'IP Input Sheet'!F26)),"[Enter IP]")</x:f>
        <x:v>10.3.111.133</x:v>
      </x:c>
      <x:c r="G70" s="29" t="s">
        <x:v>417</x:v>
      </x:c>
      <x:c r="H70" s="29" t="s">
        <x:v>252</x:v>
      </x:c>
      <x:c r="I70" s="29" t="s">
        <x:v>533</x:v>
      </x:c>
      <x:c r="J70" s="24" t="s">
        <x:v>254</x:v>
      </x:c>
      <x:c r="K70" s="28" t="s">
        <x:v>255</x:v>
      </x:c>
      <x:c r="L70" s="29" t="s">
        <x:v>261</x:v>
      </x:c>
      <x:c r="M70" s="29" t="s">
        <x:v>534</x:v>
      </x:c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30" customHeight="1">
      <x:c r="A71" s="36" t="s">
        <x:v>535</x:v>
      </x:c>
      <x:c r="B71" s="36" t="s">
        <x:v>536</x:v>
      </x:c>
      <x:c r="C71" s="30" t="s">
        <x:v>537</x:v>
      </x:c>
      <x:c r="D71" s="30" t="str">
        <x:f>IFERROR(IF('IP Input Sheet'!D15&lt;&gt;"",'IP Input Sheet'!D15,IF('IP Input Sheet'!E15&lt;&gt;"",'IP Input Sheet'!E15,'IP Input Sheet'!F15)),"[Enter IP]")</x:f>
        <x:v>10.3.118.0/24</x:v>
      </x:c>
      <x:c r="E71" s="30" t="s">
        <x:v>538</x:v>
      </x:c>
      <x:c r="F71" s="30" t="str">
        <x:f>IFERROR(IF('IP Input Sheet'!D15&lt;&gt;"",'IP Input Sheet'!D15,IF('IP Input Sheet'!E15&lt;&gt;"",'IP Input Sheet'!E15,'IP Input Sheet'!F15)),"[Enter IP]")</x:f>
        <x:v>10.3.118.0/24</x:v>
      </x:c>
      <x:c r="G71" s="30" t="s">
        <x:v>539</x:v>
      </x:c>
      <x:c r="H71" s="30" t="s">
        <x:v>252</x:v>
      </x:c>
      <x:c r="I71" s="30" t="s">
        <x:v>540</x:v>
      </x:c>
      <x:c r="J71" s="24" t="s">
        <x:v>254</x:v>
      </x:c>
      <x:c r="K71" s="30" t="s">
        <x:v>255</x:v>
      </x:c>
      <x:c r="L71" s="30" t="s">
        <x:v>261</x:v>
      </x:c>
      <x:c r="M71" s="31" t="s">
        <x:v>541</x:v>
      </x:c>
      <x:c r="N71" s="32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27" t="s">
        <x:v>542</x:v>
      </x:c>
      <x:c r="B72" s="35" t="s">
        <x:v>543</x:v>
      </x:c>
      <x:c r="C72" s="27" t="s">
        <x:v>10</x:v>
      </x:c>
      <x:c r="D72" s="27" t="str">
        <x:f>IFERROR(IF('IP Input Sheet'!D5&lt;&gt;"",'IP Input Sheet'!D5,IF('IP Input Sheet'!E5&lt;&gt;"",'IP Input Sheet'!E5,'IP Input Sheet'!F5)),"[Enter IP]")</x:f>
        <x:v>10.5.25.86</x:v>
      </x:c>
      <x:c r="E72" s="27" t="s">
        <x:v>544</x:v>
      </x:c>
      <x:c r="F72" s="27" t="str">
        <x:f>IFERROR(IF('IP Input Sheet'!D13&lt;&gt;"",'IP Input Sheet'!D13,IF('IP Input Sheet'!E13&lt;&gt;"",'IP Input Sheet'!E13,'IP Input Sheet'!F13)),"[Enter IP]")</x:f>
        <x:v>10.3.118.18</x:v>
      </x:c>
      <x:c r="G72" s="27" t="s">
        <x:v>545</x:v>
      </x:c>
      <x:c r="H72" s="27" t="s">
        <x:v>252</x:v>
      </x:c>
      <x:c r="I72" s="27" t="s">
        <x:v>546</x:v>
      </x:c>
      <x:c r="J72" s="24" t="s">
        <x:v>254</x:v>
      </x:c>
      <x:c r="K72" s="28" t="s">
        <x:v>255</x:v>
      </x:c>
      <x:c r="L72" s="27" t="s">
        <x:v>256</x:v>
      </x:c>
      <x:c r="M72" s="27" t="s">
        <x:v>547</x:v>
      </x:c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29" t="s">
        <x:v>548</x:v>
      </x:c>
      <x:c r="B73" s="35" t="s">
        <x:v>549</x:v>
      </x:c>
      <x:c r="C73" s="29" t="s">
        <x:v>10</x:v>
      </x:c>
      <x:c r="D73" s="29" t="str">
        <x:f>IFERROR(IF('IP Input Sheet'!D5&lt;&gt;"",'IP Input Sheet'!D5,IF('IP Input Sheet'!E5&lt;&gt;"",'IP Input Sheet'!E5,'IP Input Sheet'!F5)),"[Enter IP]")</x:f>
        <x:v>10.5.25.86</x:v>
      </x:c>
      <x:c r="E73" s="29" t="s">
        <x:v>550</x:v>
      </x:c>
      <x:c r="F73" s="29" t="str">
        <x:f>IFERROR(IF('IP Input Sheet'!D16&lt;&gt;"",'IP Input Sheet'!D16,IF('IP Input Sheet'!E16&lt;&gt;"",'IP Input Sheet'!E16,'IP Input Sheet'!F16)),"[Enter IP]")</x:f>
        <x:v>10.3.118.30</x:v>
      </x:c>
      <x:c r="G73" s="29" t="s">
        <x:v>545</x:v>
      </x:c>
      <x:c r="H73" s="29" t="s">
        <x:v>252</x:v>
      </x:c>
      <x:c r="I73" s="29" t="s">
        <x:v>551</x:v>
      </x:c>
      <x:c r="J73" s="24" t="s">
        <x:v>254</x:v>
      </x:c>
      <x:c r="K73" s="28" t="s">
        <x:v>255</x:v>
      </x:c>
      <x:c r="L73" s="29" t="s">
        <x:v>256</x:v>
      </x:c>
      <x:c r="M73" s="29" t="s">
        <x:v>552</x:v>
      </x:c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27" t="s">
        <x:v>553</x:v>
      </x:c>
      <x:c r="B74" s="35" t="s">
        <x:v>554</x:v>
      </x:c>
      <x:c r="C74" s="27" t="s">
        <x:v>10</x:v>
      </x:c>
      <x:c r="D74" s="27" t="str">
        <x:f>IFERROR(IF('IP Input Sheet'!D5&lt;&gt;"",'IP Input Sheet'!D5,IF('IP Input Sheet'!E5&lt;&gt;"",'IP Input Sheet'!E5,'IP Input Sheet'!F5)),"[Enter IP]")</x:f>
        <x:v>10.5.25.86</x:v>
      </x:c>
      <x:c r="E74" s="27" t="s">
        <x:v>555</x:v>
      </x:c>
      <x:c r="F74" s="27" t="str">
        <x:f>IFERROR(IF('IP Input Sheet'!D14&lt;&gt;"",'IP Input Sheet'!D14,IF('IP Input Sheet'!E14&lt;&gt;"",'IP Input Sheet'!E14,'IP Input Sheet'!F14)),"[Enter IP]")</x:f>
        <x:v>10.3.118.0/24</x:v>
      </x:c>
      <x:c r="G74" s="27" t="s">
        <x:v>545</x:v>
      </x:c>
      <x:c r="H74" s="27" t="s">
        <x:v>252</x:v>
      </x:c>
      <x:c r="I74" s="27" t="s">
        <x:v>556</x:v>
      </x:c>
      <x:c r="J74" s="24" t="s">
        <x:v>254</x:v>
      </x:c>
      <x:c r="K74" s="28" t="s">
        <x:v>255</x:v>
      </x:c>
      <x:c r="L74" s="27" t="s">
        <x:v>256</x:v>
      </x:c>
      <x:c r="M74" s="27" t="s">
        <x:v>557</x:v>
      </x:c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29" t="s">
        <x:v>558</x:v>
      </x:c>
      <x:c r="B75" s="35" t="s">
        <x:v>559</x:v>
      </x:c>
      <x:c r="C75" s="29" t="s">
        <x:v>18</x:v>
      </x:c>
      <x:c r="D75" s="29" t="str">
        <x:f>IFERROR(IF('IP Input Sheet'!D7&lt;&gt;"",'IP Input Sheet'!D7,IF('IP Input Sheet'!E7&lt;&gt;"",'IP Input Sheet'!E7,'IP Input Sheet'!F7)),"[Enter IP]")</x:f>
        <x:v>10.5.25.64/26</x:v>
      </x:c>
      <x:c r="E75" s="29" t="s">
        <x:v>560</x:v>
      </x:c>
      <x:c r="F75" s="29" t="str">
        <x:f>IFERROR(IF('IP Input Sheet'!D13&lt;&gt;"",'IP Input Sheet'!D13,IF('IP Input Sheet'!E13&lt;&gt;"",'IP Input Sheet'!E13,'IP Input Sheet'!F13)),"[Enter IP]")</x:f>
        <x:v>10.3.118.18</x:v>
      </x:c>
      <x:c r="G75" s="29" t="s">
        <x:v>545</x:v>
      </x:c>
      <x:c r="H75" s="29" t="s">
        <x:v>252</x:v>
      </x:c>
      <x:c r="I75" s="29" t="s">
        <x:v>561</x:v>
      </x:c>
      <x:c r="J75" s="24" t="s">
        <x:v>254</x:v>
      </x:c>
      <x:c r="K75" s="28" t="s">
        <x:v>255</x:v>
      </x:c>
      <x:c r="L75" s="29" t="s">
        <x:v>256</x:v>
      </x:c>
      <x:c r="M75" s="29" t="s">
        <x:v>562</x:v>
      </x:c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27" t="s">
        <x:v>563</x:v>
      </x:c>
      <x:c r="B76" s="35" t="s">
        <x:v>564</x:v>
      </x:c>
      <x:c r="C76" s="27" t="s">
        <x:v>565</x:v>
      </x:c>
      <x:c r="D76" s="27" t="str">
        <x:f>IFERROR(IF('IP Input Sheet'!D20&lt;&gt;"",'IP Input Sheet'!D20,IF('IP Input Sheet'!E20&lt;&gt;"",'IP Input Sheet'!E20,'IP Input Sheet'!F20)),"[Enter IP]")</x:f>
        <x:v>192.168.188.1</x:v>
      </x:c>
      <x:c r="E76" s="27" t="s">
        <x:v>566</x:v>
      </x:c>
      <x:c r="F76" s="27" t="str">
        <x:f>IFERROR(IF('IP Input Sheet'!D13&lt;&gt;"",'IP Input Sheet'!D13,IF('IP Input Sheet'!E13&lt;&gt;"",'IP Input Sheet'!E13,'IP Input Sheet'!F13)),"[Enter IP]")</x:f>
        <x:v>10.3.118.18</x:v>
      </x:c>
      <x:c r="G76" s="27" t="s">
        <x:v>567</x:v>
      </x:c>
      <x:c r="H76" s="27" t="s">
        <x:v>252</x:v>
      </x:c>
      <x:c r="I76" s="27" t="s">
        <x:v>568</x:v>
      </x:c>
      <x:c r="J76" s="24" t="s">
        <x:v>254</x:v>
      </x:c>
      <x:c r="K76" s="28" t="s">
        <x:v>255</x:v>
      </x:c>
      <x:c r="L76" s="27" t="s">
        <x:v>261</x:v>
      </x:c>
      <x:c r="M76" s="27" t="s">
        <x:v>569</x:v>
      </x:c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29" t="s">
        <x:v>570</x:v>
      </x:c>
      <x:c r="B77" s="35" t="s">
        <x:v>571</x:v>
      </x:c>
      <x:c r="C77" s="29" t="s">
        <x:v>572</x:v>
      </x:c>
      <x:c r="D77" s="29" t="s">
        <x:v>573</x:v>
      </x:c>
      <x:c r="E77" s="29" t="s">
        <x:v>574</x:v>
      </x:c>
      <x:c r="F77" s="29" t="str">
        <x:f>IFERROR(IF('IP Input Sheet'!D20&lt;&gt;"",'IP Input Sheet'!D20,IF('IP Input Sheet'!E20&lt;&gt;"",'IP Input Sheet'!E20,'IP Input Sheet'!F20)),"[Enter IP]")</x:f>
        <x:v>192.168.188.1</x:v>
      </x:c>
      <x:c r="G77" s="29" t="s">
        <x:v>567</x:v>
      </x:c>
      <x:c r="H77" s="29" t="s">
        <x:v>252</x:v>
      </x:c>
      <x:c r="I77" s="29" t="s">
        <x:v>575</x:v>
      </x:c>
      <x:c r="J77" s="24" t="s">
        <x:v>254</x:v>
      </x:c>
      <x:c r="K77" s="28" t="s">
        <x:v>255</x:v>
      </x:c>
      <x:c r="L77" s="29" t="s">
        <x:v>576</x:v>
      </x:c>
      <x:c r="M77" s="29" t="s">
        <x:v>577</x:v>
      </x:c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13"/>
      <x:c r="B79" s="13" t="s">
        <x:v>578</x:v>
      </x:c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23" t="s">
        <x:v>579</x:v>
      </x:c>
      <x:c r="B80" s="23" t="s">
        <x:v>580</x:v>
      </x:c>
      <x:c r="C80" s="23" t="s">
        <x:v>581</x:v>
      </x:c>
      <x:c r="D80" s="23" t="str">
        <x:f>IFERROR(IF('IP Input Sheet'!D20&lt;&gt;"",'IP Input Sheet'!D20,IF('IP Input Sheet'!E20&lt;&gt;"",'IP Input Sheet'!E20,'IP Input Sheet'!F20)),"[Enter IP]")</x:f>
        <x:v>192.168.188.1</x:v>
      </x:c>
      <x:c r="E80" s="23" t="s">
        <x:v>36</x:v>
      </x:c>
      <x:c r="F80" s="23" t="str">
        <x:f>IFERROR(IF('IP Input Sheet'!D13&lt;&gt;"",'IP Input Sheet'!D13,IF('IP Input Sheet'!E13&lt;&gt;"",'IP Input Sheet'!E13,'IP Input Sheet'!F13)),"[Enter IP]")</x:f>
        <x:v>10.3.118.18</x:v>
      </x:c>
      <x:c r="G80" s="23" t="s">
        <x:v>251</x:v>
      </x:c>
      <x:c r="H80" s="23" t="s">
        <x:v>252</x:v>
      </x:c>
      <x:c r="I80" s="23" t="s">
        <x:v>582</x:v>
      </x:c>
      <x:c r="J80" s="24" t="s">
        <x:v>254</x:v>
      </x:c>
      <x:c r="K80" s="25" t="s">
        <x:v>255</x:v>
      </x:c>
      <x:c r="L80" s="23" t="s">
        <x:v>256</x:v>
      </x:c>
      <x:c r="M80" s="23" t="s">
        <x:v>583</x:v>
      </x:c>
      <x:c r="N80" s="27" t="s">
        <x:v>584</x:v>
      </x:c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23" t="s">
        <x:v>585</x:v>
      </x:c>
      <x:c r="B81" s="23" t="s">
        <x:v>586</x:v>
      </x:c>
      <x:c r="C81" s="23" t="s">
        <x:v>581</x:v>
      </x:c>
      <x:c r="D81" s="23" t="str">
        <x:f>IFERROR(IF('IP Input Sheet'!D20&lt;&gt;"",'IP Input Sheet'!D20,IF('IP Input Sheet'!E20&lt;&gt;"",'IP Input Sheet'!E20,'IP Input Sheet'!F20)),"[Enter IP]")</x:f>
        <x:v>192.168.188.1</x:v>
      </x:c>
      <x:c r="E81" s="23" t="s">
        <x:v>544</x:v>
      </x:c>
      <x:c r="F81" s="23" t="str">
        <x:f>IFERROR(IF('IP Input Sheet'!D13&lt;&gt;"",'IP Input Sheet'!D13,IF('IP Input Sheet'!E13&lt;&gt;"",'IP Input Sheet'!E13,'IP Input Sheet'!F13)),"[Enter IP]")</x:f>
        <x:v>10.3.118.18</x:v>
      </x:c>
      <x:c r="G81" s="23" t="s">
        <x:v>545</x:v>
      </x:c>
      <x:c r="H81" s="23" t="s">
        <x:v>252</x:v>
      </x:c>
      <x:c r="I81" s="23" t="s">
        <x:v>587</x:v>
      </x:c>
      <x:c r="J81" s="24" t="s">
        <x:v>254</x:v>
      </x:c>
      <x:c r="K81" s="25" t="s">
        <x:v>255</x:v>
      </x:c>
      <x:c r="L81" s="23" t="s">
        <x:v>256</x:v>
      </x:c>
      <x:c r="M81" s="23" t="s">
        <x:v>588</x:v>
      </x:c>
      <x:c r="N81" s="27" t="s">
        <x:v>589</x:v>
      </x:c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23" t="s">
        <x:v>590</x:v>
      </x:c>
      <x:c r="B82" s="23" t="s">
        <x:v>591</x:v>
      </x:c>
      <x:c r="C82" s="23" t="s">
        <x:v>581</x:v>
      </x:c>
      <x:c r="D82" s="23" t="str">
        <x:f>IFERROR(IF('IP Input Sheet'!D20&lt;&gt;"",'IP Input Sheet'!D20,IF('IP Input Sheet'!E20&lt;&gt;"",'IP Input Sheet'!E20,'IP Input Sheet'!F20)),"[Enter IP]")</x:f>
        <x:v>192.168.188.1</x:v>
      </x:c>
      <x:c r="E82" s="23" t="s">
        <x:v>592</x:v>
      </x:c>
      <x:c r="F82" s="23" t="str">
        <x:f>IFERROR(IF('IP Input Sheet'!D18&lt;&gt;"",'IP Input Sheet'!D18,IF('IP Input Sheet'!E18&lt;&gt;"",'IP Input Sheet'!E18,'IP Input Sheet'!F18)),"[Enter IP]")</x:f>
        <x:v>10.3.118.0/24</x:v>
      </x:c>
      <x:c r="G82" s="23" t="s">
        <x:v>354</x:v>
      </x:c>
      <x:c r="H82" s="23" t="s">
        <x:v>272</x:v>
      </x:c>
      <x:c r="I82" s="23" t="s">
        <x:v>593</x:v>
      </x:c>
      <x:c r="J82" s="24" t="s">
        <x:v>254</x:v>
      </x:c>
      <x:c r="K82" s="25" t="s">
        <x:v>255</x:v>
      </x:c>
      <x:c r="L82" s="23" t="s">
        <x:v>261</x:v>
      </x:c>
      <x:c r="M82" s="23" t="s">
        <x:v>594</x:v>
      </x:c>
      <x:c r="N82" s="27" t="s">
        <x:v>595</x:v>
      </x:c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23" t="s">
        <x:v>596</x:v>
      </x:c>
      <x:c r="B83" s="23" t="s">
        <x:v>597</x:v>
      </x:c>
      <x:c r="C83" s="23" t="s">
        <x:v>581</x:v>
      </x:c>
      <x:c r="D83" s="23" t="str">
        <x:f>IFERROR(IF('IP Input Sheet'!D20&lt;&gt;"",'IP Input Sheet'!D20,IF('IP Input Sheet'!E20&lt;&gt;"",'IP Input Sheet'!E20,'IP Input Sheet'!F20)),"[Enter IP]")</x:f>
        <x:v>192.168.188.1</x:v>
      </x:c>
      <x:c r="E83" s="23" t="s">
        <x:v>592</x:v>
      </x:c>
      <x:c r="F83" s="23" t="str">
        <x:f>IFERROR(IF('IP Input Sheet'!D18&lt;&gt;"",'IP Input Sheet'!D18,IF('IP Input Sheet'!E18&lt;&gt;"",'IP Input Sheet'!E18,'IP Input Sheet'!F18)),"[Enter IP]")</x:f>
        <x:v>10.3.118.0/24</x:v>
      </x:c>
      <x:c r="G83" s="23" t="s">
        <x:v>598</x:v>
      </x:c>
      <x:c r="H83" s="23" t="s">
        <x:v>252</x:v>
      </x:c>
      <x:c r="I83" s="23" t="s">
        <x:v>599</x:v>
      </x:c>
      <x:c r="J83" s="24" t="s">
        <x:v>254</x:v>
      </x:c>
      <x:c r="K83" s="25" t="s">
        <x:v>255</x:v>
      </x:c>
      <x:c r="L83" s="23" t="s">
        <x:v>261</x:v>
      </x:c>
      <x:c r="M83" s="23" t="s">
        <x:v>595</x:v>
      </x:c>
      <x:c r="N83" s="27" t="s">
        <x:v>600</x:v>
      </x:c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23" t="s">
        <x:v>601</x:v>
      </x:c>
      <x:c r="B84" s="23" t="s">
        <x:v>602</x:v>
      </x:c>
      <x:c r="C84" s="23" t="s">
        <x:v>581</x:v>
      </x:c>
      <x:c r="D84" s="23" t="str">
        <x:f>IFERROR(IF('IP Input Sheet'!D20&lt;&gt;"",'IP Input Sheet'!D20,IF('IP Input Sheet'!E20&lt;&gt;"",'IP Input Sheet'!E20,'IP Input Sheet'!F20)),"[Enter IP]")</x:f>
        <x:v>192.168.188.1</x:v>
      </x:c>
      <x:c r="E84" s="23" t="s">
        <x:v>592</x:v>
      </x:c>
      <x:c r="F84" s="23" t="str">
        <x:f>IFERROR(IF('IP Input Sheet'!D18&lt;&gt;"",'IP Input Sheet'!D18,IF('IP Input Sheet'!E18&lt;&gt;"",'IP Input Sheet'!E18,'IP Input Sheet'!F18)),"[Enter IP]")</x:f>
        <x:v>10.3.118.0/24</x:v>
      </x:c>
      <x:c r="G84" s="23" t="s">
        <x:v>603</x:v>
      </x:c>
      <x:c r="H84" s="23" t="s">
        <x:v>252</x:v>
      </x:c>
      <x:c r="I84" s="23" t="s">
        <x:v>604</x:v>
      </x:c>
      <x:c r="J84" s="24" t="s">
        <x:v>254</x:v>
      </x:c>
      <x:c r="K84" s="25" t="s">
        <x:v>255</x:v>
      </x:c>
      <x:c r="L84" s="23" t="s">
        <x:v>261</x:v>
      </x:c>
      <x:c r="M84" s="23" t="s">
        <x:v>600</x:v>
      </x:c>
      <x:c r="N84" s="27" t="s">
        <x:v>605</x:v>
      </x:c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23" t="s">
        <x:v>606</x:v>
      </x:c>
      <x:c r="B85" s="23" t="s">
        <x:v>607</x:v>
      </x:c>
      <x:c r="C85" s="23" t="s">
        <x:v>581</x:v>
      </x:c>
      <x:c r="D85" s="23" t="str">
        <x:f>IFERROR(IF('IP Input Sheet'!D20&lt;&gt;"",'IP Input Sheet'!D20,IF('IP Input Sheet'!E20&lt;&gt;"",'IP Input Sheet'!E20,'IP Input Sheet'!F20)),"[Enter IP]")</x:f>
        <x:v>192.168.188.1</x:v>
      </x:c>
      <x:c r="E85" s="23" t="s">
        <x:v>592</x:v>
      </x:c>
      <x:c r="F85" s="23" t="str">
        <x:f>IFERROR(IF('IP Input Sheet'!D18&lt;&gt;"",'IP Input Sheet'!D18,IF('IP Input Sheet'!E18&lt;&gt;"",'IP Input Sheet'!E18,'IP Input Sheet'!F18)),"[Enter IP]")</x:f>
        <x:v>10.3.118.0/24</x:v>
      </x:c>
      <x:c r="G85" s="23" t="s">
        <x:v>608</x:v>
      </x:c>
      <x:c r="H85" s="23" t="s">
        <x:v>252</x:v>
      </x:c>
      <x:c r="I85" s="23" t="s">
        <x:v>609</x:v>
      </x:c>
      <x:c r="J85" s="24" t="s">
        <x:v>254</x:v>
      </x:c>
      <x:c r="K85" s="25" t="s">
        <x:v>255</x:v>
      </x:c>
      <x:c r="L85" s="23" t="s">
        <x:v>261</x:v>
      </x:c>
      <x:c r="M85" s="23" t="s">
        <x:v>610</x:v>
      </x:c>
      <x:c r="N85" s="27" t="s">
        <x:v>611</x:v>
      </x:c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23" t="s">
        <x:v>612</x:v>
      </x:c>
      <x:c r="B86" s="23" t="s">
        <x:v>613</x:v>
      </x:c>
      <x:c r="C86" s="23" t="s">
        <x:v>581</x:v>
      </x:c>
      <x:c r="D86" s="23" t="str">
        <x:f>IFERROR(IF('IP Input Sheet'!D20&lt;&gt;"",'IP Input Sheet'!D20,IF('IP Input Sheet'!E20&lt;&gt;"",'IP Input Sheet'!E20,'IP Input Sheet'!F20)),"[Enter IP]")</x:f>
        <x:v>192.168.188.1</x:v>
      </x:c>
      <x:c r="E86" s="23" t="s">
        <x:v>203</x:v>
      </x:c>
      <x:c r="F86" s="23" t="n">
        <x:f>'IP Input Sheet'!D60</x:f>
        <x:v>0</x:v>
      </x:c>
      <x:c r="G86" s="23" t="s">
        <x:v>271</x:v>
      </x:c>
      <x:c r="H86" s="23" t="s">
        <x:v>272</x:v>
      </x:c>
      <x:c r="I86" s="23" t="s">
        <x:v>273</x:v>
      </x:c>
      <x:c r="J86" s="24" t="s">
        <x:v>254</x:v>
      </x:c>
      <x:c r="K86" s="25" t="s">
        <x:v>255</x:v>
      </x:c>
      <x:c r="L86" s="23" t="s">
        <x:v>256</x:v>
      </x:c>
      <x:c r="M86" s="23" t="s">
        <x:v>614</x:v>
      </x:c>
      <x:c r="N86" s="27" t="s">
        <x:v>615</x:v>
      </x:c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23" t="s">
        <x:v>616</x:v>
      </x:c>
      <x:c r="B87" s="23" t="s">
        <x:v>617</x:v>
      </x:c>
      <x:c r="C87" s="23" t="s">
        <x:v>581</x:v>
      </x:c>
      <x:c r="D87" s="23" t="str">
        <x:f>IFERROR(IF('IP Input Sheet'!D20&lt;&gt;"",'IP Input Sheet'!D20,IF('IP Input Sheet'!E20&lt;&gt;"",'IP Input Sheet'!E20,'IP Input Sheet'!F20)),"[Enter IP]")</x:f>
        <x:v>192.168.188.1</x:v>
      </x:c>
      <x:c r="E87" s="23" t="s">
        <x:v>207</x:v>
      </x:c>
      <x:c r="F87" s="23" t="n">
        <x:f>'IP Input Sheet'!D61</x:f>
        <x:v>0</x:v>
      </x:c>
      <x:c r="G87" s="23" t="s">
        <x:v>277</x:v>
      </x:c>
      <x:c r="H87" s="23" t="s">
        <x:v>278</x:v>
      </x:c>
      <x:c r="I87" s="23" t="s">
        <x:v>618</x:v>
      </x:c>
      <x:c r="J87" s="24" t="s">
        <x:v>254</x:v>
      </x:c>
      <x:c r="K87" s="25" t="s">
        <x:v>255</x:v>
      </x:c>
      <x:c r="L87" s="23" t="s">
        <x:v>256</x:v>
      </x:c>
      <x:c r="M87" s="23" t="s">
        <x:v>619</x:v>
      </x:c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13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13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13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13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13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13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13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13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13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13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13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13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13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13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13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13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13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  <x:c r="M261" s="13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13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  <x:c r="M262" s="13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13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13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13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13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13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13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13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13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13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13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13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13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13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13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13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13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13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13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13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13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13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13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13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13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13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M1"/>
    <x:mergeCell ref="A2:M2"/>
    <x:mergeCell ref="A65:M6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70C0"/>
  </x:sheetPr>
  <x:sheetFormatPr defaultColWidth="14.430000305175781" defaultRowHeight="15"/>
  <x:cols>
    <x:col min="1" max="1" width="7" customWidth="1"/>
    <x:col min="2" max="2" width="32" customWidth="1"/>
    <x:col min="3" max="3" width="28" customWidth="1"/>
    <x:col min="4" max="4" width="24" customWidth="1"/>
    <x:col min="5" max="5" width="28" customWidth="1"/>
    <x:col min="6" max="6" width="24" customWidth="1"/>
    <x:col min="7" max="7" width="12" customWidth="1"/>
    <x:col min="8" max="8" width="10" customWidth="1"/>
    <x:col min="9" max="9" width="34" customWidth="1"/>
    <x:col min="10" max="10" width="8" customWidth="1"/>
    <x:col min="11" max="12" width="14" customWidth="1"/>
    <x:col min="13" max="13" width="38" customWidth="1"/>
    <x:col min="14" max="14" width="14.569999694824219" customWidth="1"/>
  </x:cols>
  <x:sheetData>
    <x:row r="1" ht="15.75" customHeight="1">
      <x:c r="A1" s="22" t="s">
        <x:v>620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customHeight="1">
      <x:c r="A2" s="5" t="s">
        <x:v>236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3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5" customHeight="1">
      <x:c r="A3" s="6" t="s">
        <x:v>2</x:v>
      </x:c>
      <x:c r="B3" s="6" t="s">
        <x:v>237</x:v>
      </x:c>
      <x:c r="C3" s="6" t="s">
        <x:v>238</x:v>
      </x:c>
      <x:c r="D3" s="6" t="s">
        <x:v>239</x:v>
      </x:c>
      <x:c r="E3" s="6" t="s">
        <x:v>240</x:v>
      </x:c>
      <x:c r="F3" s="6" t="s">
        <x:v>241</x:v>
      </x:c>
      <x:c r="G3" s="6" t="s">
        <x:v>242</x:v>
      </x:c>
      <x:c r="H3" s="6" t="s">
        <x:v>243</x:v>
      </x:c>
      <x:c r="I3" s="6" t="s">
        <x:v>244</x:v>
      </x:c>
      <x:c r="J3" s="6" t="s">
        <x:v>245</x:v>
      </x:c>
      <x:c r="K3" s="6" t="s">
        <x:v>246</x:v>
      </x:c>
      <x:c r="L3" s="6" t="s">
        <x:v>247</x:v>
      </x:c>
      <x:c r="M3" s="6" t="s">
        <x:v>248</x:v>
      </x:c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5" customHeight="1">
      <x:c r="A4" s="23" t="s">
        <x:v>621</x:v>
      </x:c>
      <x:c r="B4" s="23" t="s">
        <x:v>622</x:v>
      </x:c>
      <x:c r="C4" s="23" t="s">
        <x:v>36</x:v>
      </x:c>
      <x:c r="D4" s="23" t="str">
        <x:f>IFERROR(IF('IP Input Sheet'!D13&lt;&gt;"",'IP Input Sheet'!D13,IF('IP Input Sheet'!E13&lt;&gt;"",'IP Input Sheet'!E13,'IP Input Sheet'!F13)),"[Enter IP]")</x:f>
        <x:v>10.3.118.18</x:v>
      </x:c>
      <x:c r="E4" s="23" t="s">
        <x:v>623</x:v>
      </x:c>
      <x:c r="F4" s="23" t="str">
        <x:f>IFERROR(IF('IP Input Sheet'!D5&lt;&gt;"",'IP Input Sheet'!D5,IF('IP Input Sheet'!E5&lt;&gt;"",'IP Input Sheet'!E5,'IP Input Sheet'!F5)),"[Enter IP]")</x:f>
        <x:v>10.5.25.86</x:v>
      </x:c>
      <x:c r="G4" s="23" t="s">
        <x:v>251</x:v>
      </x:c>
      <x:c r="H4" s="23" t="s">
        <x:v>252</x:v>
      </x:c>
      <x:c r="I4" s="23" t="s">
        <x:v>624</x:v>
      </x:c>
      <x:c r="J4" s="24" t="s">
        <x:v>254</x:v>
      </x:c>
      <x:c r="K4" s="25" t="s">
        <x:v>255</x:v>
      </x:c>
      <x:c r="L4" s="23" t="s">
        <x:v>256</x:v>
      </x:c>
      <x:c r="M4" s="23" t="s">
        <x:v>625</x:v>
      </x:c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5" customHeight="1">
      <x:c r="A5" s="26" t="s">
        <x:v>626</x:v>
      </x:c>
      <x:c r="B5" s="26" t="s">
        <x:v>627</x:v>
      </x:c>
      <x:c r="C5" s="26" t="s">
        <x:v>36</x:v>
      </x:c>
      <x:c r="D5" s="26" t="str">
        <x:f>IFERROR(IF('IP Input Sheet'!D13&lt;&gt;"",'IP Input Sheet'!D13,IF('IP Input Sheet'!E13&lt;&gt;"",'IP Input Sheet'!E13,'IP Input Sheet'!F13)),"[Enter IP]")</x:f>
        <x:v>10.3.118.18</x:v>
      </x:c>
      <x:c r="E5" s="26" t="s">
        <x:v>14</x:v>
      </x:c>
      <x:c r="F5" s="26" t="str">
        <x:f>IFERROR(IF('IP Input Sheet'!D6&lt;&gt;"",'IP Input Sheet'!D6,IF('IP Input Sheet'!E6&lt;&gt;"",'IP Input Sheet'!E6,'IP Input Sheet'!F6)),"[Enter IP]")</x:f>
        <x:v>10.5.25.64/26</x:v>
      </x:c>
      <x:c r="G5" s="26" t="s">
        <x:v>251</x:v>
      </x:c>
      <x:c r="H5" s="26" t="s">
        <x:v>252</x:v>
      </x:c>
      <x:c r="I5" s="26" t="s">
        <x:v>628</x:v>
      </x:c>
      <x:c r="J5" s="24" t="s">
        <x:v>254</x:v>
      </x:c>
      <x:c r="K5" s="25" t="s">
        <x:v>255</x:v>
      </x:c>
      <x:c r="L5" s="26" t="s">
        <x:v>261</x:v>
      </x:c>
      <x:c r="M5" s="26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5" customHeight="1">
      <x:c r="A6" s="23" t="s">
        <x:v>629</x:v>
      </x:c>
      <x:c r="B6" s="23" t="s">
        <x:v>630</x:v>
      </x:c>
      <x:c r="C6" s="23" t="s">
        <x:v>36</x:v>
      </x:c>
      <x:c r="D6" s="23" t="str">
        <x:f>IFERROR(IF('IP Input Sheet'!D13&lt;&gt;"",'IP Input Sheet'!D13,IF('IP Input Sheet'!E13&lt;&gt;"",'IP Input Sheet'!E13,'IP Input Sheet'!F13)),"[Enter IP]")</x:f>
        <x:v>10.3.118.18</x:v>
      </x:c>
      <x:c r="E6" s="23" t="s">
        <x:v>14</x:v>
      </x:c>
      <x:c r="F6" s="23" t="str">
        <x:f>IFERROR(IF('IP Input Sheet'!D6&lt;&gt;"",'IP Input Sheet'!D6,IF('IP Input Sheet'!E6&lt;&gt;"",'IP Input Sheet'!E6,'IP Input Sheet'!F6)),"[Enter IP]")</x:f>
        <x:v>10.5.25.64/26</x:v>
      </x:c>
      <x:c r="G6" s="23" t="s">
        <x:v>631</x:v>
      </x:c>
      <x:c r="H6" s="23" t="s">
        <x:v>252</x:v>
      </x:c>
      <x:c r="I6" s="23" t="s">
        <x:v>632</x:v>
      </x:c>
      <x:c r="J6" s="24" t="s">
        <x:v>254</x:v>
      </x:c>
      <x:c r="K6" s="25" t="s">
        <x:v>255</x:v>
      </x:c>
      <x:c r="L6" s="23" t="s">
        <x:v>256</x:v>
      </x:c>
      <x:c r="M6" s="23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5" customHeight="1">
      <x:c r="A7" s="26" t="s">
        <x:v>633</x:v>
      </x:c>
      <x:c r="B7" s="26" t="s">
        <x:v>634</x:v>
      </x:c>
      <x:c r="C7" s="26" t="s">
        <x:v>36</x:v>
      </x:c>
      <x:c r="D7" s="26" t="str">
        <x:f>IFERROR(IF('IP Input Sheet'!D13&lt;&gt;"",'IP Input Sheet'!D13,IF('IP Input Sheet'!E13&lt;&gt;"",'IP Input Sheet'!E13,'IP Input Sheet'!F13)),"[Enter IP]")</x:f>
        <x:v>10.3.118.18</x:v>
      </x:c>
      <x:c r="E7" s="26" t="s">
        <x:v>18</x:v>
      </x:c>
      <x:c r="F7" s="26" t="str">
        <x:f>IFERROR(IF('IP Input Sheet'!D7&lt;&gt;"",'IP Input Sheet'!D7,IF('IP Input Sheet'!E7&lt;&gt;"",'IP Input Sheet'!E7,'IP Input Sheet'!F7)),"[Enter IP]")</x:f>
        <x:v>10.5.25.64/26</x:v>
      </x:c>
      <x:c r="G7" s="26" t="s">
        <x:v>251</x:v>
      </x:c>
      <x:c r="H7" s="26" t="s">
        <x:v>252</x:v>
      </x:c>
      <x:c r="I7" s="26" t="s">
        <x:v>635</x:v>
      </x:c>
      <x:c r="J7" s="24" t="s">
        <x:v>254</x:v>
      </x:c>
      <x:c r="K7" s="25" t="s">
        <x:v>255</x:v>
      </x:c>
      <x:c r="L7" s="26" t="s">
        <x:v>261</x:v>
      </x:c>
      <x:c r="M7" s="26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5" customHeight="1">
      <x:c r="A8" s="23" t="s">
        <x:v>636</x:v>
      </x:c>
      <x:c r="B8" s="23" t="s">
        <x:v>637</x:v>
      </x:c>
      <x:c r="C8" s="23" t="s">
        <x:v>36</x:v>
      </x:c>
      <x:c r="D8" s="23" t="str">
        <x:f>IFERROR(IF('IP Input Sheet'!D13&lt;&gt;"",'IP Input Sheet'!D13,IF('IP Input Sheet'!E13&lt;&gt;"",'IP Input Sheet'!E13,'IP Input Sheet'!F13)),"[Enter IP]")</x:f>
        <x:v>10.3.118.18</x:v>
      </x:c>
      <x:c r="E8" s="23" t="s">
        <x:v>638</x:v>
      </x:c>
      <x:c r="F8" s="23" t="str">
        <x:f>IFERROR(IF('IP Input Sheet'!D8&lt;&gt;"",'IP Input Sheet'!D8,IF('IP Input Sheet'!E8&lt;&gt;"",'IP Input Sheet'!E8,'IP Input Sheet'!F8)),"[Enter IP]")</x:f>
        <x:v>10.5.25.64/26</x:v>
      </x:c>
      <x:c r="G8" s="23" t="s">
        <x:v>639</x:v>
      </x:c>
      <x:c r="H8" s="23" t="s">
        <x:v>272</x:v>
      </x:c>
      <x:c r="I8" s="23" t="s">
        <x:v>640</x:v>
      </x:c>
      <x:c r="J8" s="24" t="s">
        <x:v>254</x:v>
      </x:c>
      <x:c r="K8" s="25" t="s">
        <x:v>255</x:v>
      </x:c>
      <x:c r="L8" s="23" t="s">
        <x:v>256</x:v>
      </x:c>
      <x:c r="M8" s="23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5" customHeight="1">
      <x:c r="A9" s="26" t="s">
        <x:v>641</x:v>
      </x:c>
      <x:c r="B9" s="26" t="s">
        <x:v>642</x:v>
      </x:c>
      <x:c r="C9" s="26" t="s">
        <x:v>36</x:v>
      </x:c>
      <x:c r="D9" s="26" t="str">
        <x:f>IFERROR(IF('IP Input Sheet'!D13&lt;&gt;"",'IP Input Sheet'!D13,IF('IP Input Sheet'!E13&lt;&gt;"",'IP Input Sheet'!E13,'IP Input Sheet'!F13)),"[Enter IP]")</x:f>
        <x:v>10.3.118.18</x:v>
      </x:c>
      <x:c r="E9" s="26" t="s">
        <x:v>638</x:v>
      </x:c>
      <x:c r="F9" s="26" t="str">
        <x:f>IFERROR(IF('IP Input Sheet'!D8&lt;&gt;"",'IP Input Sheet'!D8,IF('IP Input Sheet'!E8&lt;&gt;"",'IP Input Sheet'!E8,'IP Input Sheet'!F8)),"[Enter IP]")</x:f>
        <x:v>10.5.25.64/26</x:v>
      </x:c>
      <x:c r="G9" s="26" t="s">
        <x:v>643</x:v>
      </x:c>
      <x:c r="H9" s="26" t="s">
        <x:v>252</x:v>
      </x:c>
      <x:c r="I9" s="26" t="s">
        <x:v>644</x:v>
      </x:c>
      <x:c r="J9" s="24" t="s">
        <x:v>254</x:v>
      </x:c>
      <x:c r="K9" s="25" t="s">
        <x:v>255</x:v>
      </x:c>
      <x:c r="L9" s="26" t="s">
        <x:v>256</x:v>
      </x:c>
      <x:c r="M9" s="26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5" customHeight="1">
      <x:c r="A10" s="23" t="s">
        <x:v>645</x:v>
      </x:c>
      <x:c r="B10" s="23" t="s">
        <x:v>646</x:v>
      </x:c>
      <x:c r="C10" s="23" t="s">
        <x:v>36</x:v>
      </x:c>
      <x:c r="D10" s="23" t="str">
        <x:f>IFERROR(IF('IP Input Sheet'!D13&lt;&gt;"",'IP Input Sheet'!D13,IF('IP Input Sheet'!E13&lt;&gt;"",'IP Input Sheet'!E13,'IP Input Sheet'!F13)),"[Enter IP]")</x:f>
        <x:v>10.3.118.18</x:v>
      </x:c>
      <x:c r="E10" s="23" t="s">
        <x:v>647</x:v>
      </x:c>
      <x:c r="F10" s="23" t="str">
        <x:f>IFERROR(IF('IP Input Sheet'!D9&lt;&gt;"",'IP Input Sheet'!D9,IF('IP Input Sheet'!E9&lt;&gt;"",'IP Input Sheet'!E9,'IP Input Sheet'!F9)),"[Enter IP]")</x:f>
        <x:v>10.5.25.64/26</x:v>
      </x:c>
      <x:c r="G10" s="23" t="s">
        <x:v>377</x:v>
      </x:c>
      <x:c r="H10" s="23" t="s">
        <x:v>278</x:v>
      </x:c>
      <x:c r="I10" s="23" t="s">
        <x:v>648</x:v>
      </x:c>
      <x:c r="J10" s="24" t="s">
        <x:v>254</x:v>
      </x:c>
      <x:c r="K10" s="25" t="s">
        <x:v>255</x:v>
      </x:c>
      <x:c r="L10" s="23" t="s">
        <x:v>256</x:v>
      </x:c>
      <x:c r="M10" s="23" t="s">
        <x:v>649</x:v>
      </x:c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5" customHeight="1">
      <x:c r="A11" s="26" t="s">
        <x:v>650</x:v>
      </x:c>
      <x:c r="B11" s="26" t="s">
        <x:v>651</x:v>
      </x:c>
      <x:c r="C11" s="26" t="s">
        <x:v>267</x:v>
      </x:c>
      <x:c r="D11" s="26" t="str">
        <x:f>IFERROR(IF('IP Input Sheet'!D14&lt;&gt;"",'IP Input Sheet'!D14,IF('IP Input Sheet'!E14&lt;&gt;"",'IP Input Sheet'!E14,'IP Input Sheet'!F14)),"[Enter IP]")</x:f>
        <x:v>10.3.118.0/24</x:v>
      </x:c>
      <x:c r="E11" s="26" t="s">
        <x:v>14</x:v>
      </x:c>
      <x:c r="F11" s="26" t="str">
        <x:f>IFERROR(IF('IP Input Sheet'!D6&lt;&gt;"",'IP Input Sheet'!D6,IF('IP Input Sheet'!E6&lt;&gt;"",'IP Input Sheet'!E6,'IP Input Sheet'!F6)),"[Enter IP]")</x:f>
        <x:v>10.5.25.64/26</x:v>
      </x:c>
      <x:c r="G11" s="26" t="s">
        <x:v>251</x:v>
      </x:c>
      <x:c r="H11" s="26" t="s">
        <x:v>252</x:v>
      </x:c>
      <x:c r="I11" s="26" t="s">
        <x:v>652</x:v>
      </x:c>
      <x:c r="J11" s="24" t="s">
        <x:v>254</x:v>
      </x:c>
      <x:c r="K11" s="25" t="s">
        <x:v>255</x:v>
      </x:c>
      <x:c r="L11" s="26" t="s">
        <x:v>256</x:v>
      </x:c>
      <x:c r="M11" s="26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5" customHeight="1">
      <x:c r="A12" s="23" t="s">
        <x:v>653</x:v>
      </x:c>
      <x:c r="B12" s="23" t="s">
        <x:v>654</x:v>
      </x:c>
      <x:c r="C12" s="23" t="s">
        <x:v>267</x:v>
      </x:c>
      <x:c r="D12" s="23" t="str">
        <x:f>IFERROR(IF('IP Input Sheet'!D14&lt;&gt;"",'IP Input Sheet'!D14,IF('IP Input Sheet'!E14&lt;&gt;"",'IP Input Sheet'!E14,'IP Input Sheet'!F14)),"[Enter IP]")</x:f>
        <x:v>10.3.118.0/24</x:v>
      </x:c>
      <x:c r="E12" s="23" t="s">
        <x:v>638</x:v>
      </x:c>
      <x:c r="F12" s="23" t="str">
        <x:f>IFERROR(IF('IP Input Sheet'!D8&lt;&gt;"",'IP Input Sheet'!D8,IF('IP Input Sheet'!E8&lt;&gt;"",'IP Input Sheet'!E8,'IP Input Sheet'!F8)),"[Enter IP]")</x:f>
        <x:v>10.5.25.64/26</x:v>
      </x:c>
      <x:c r="G12" s="23" t="s">
        <x:v>639</x:v>
      </x:c>
      <x:c r="H12" s="23" t="s">
        <x:v>272</x:v>
      </x:c>
      <x:c r="I12" s="23" t="s">
        <x:v>655</x:v>
      </x:c>
      <x:c r="J12" s="24" t="s">
        <x:v>254</x:v>
      </x:c>
      <x:c r="K12" s="25" t="s">
        <x:v>255</x:v>
      </x:c>
      <x:c r="L12" s="23" t="s">
        <x:v>256</x:v>
      </x:c>
      <x:c r="M12" s="23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5" customHeight="1">
      <x:c r="A13" s="26" t="s">
        <x:v>656</x:v>
      </x:c>
      <x:c r="B13" s="26" t="s">
        <x:v>657</x:v>
      </x:c>
      <x:c r="C13" s="26" t="s">
        <x:v>267</x:v>
      </x:c>
      <x:c r="D13" s="26" t="str">
        <x:f>IFERROR(IF('IP Input Sheet'!D14&lt;&gt;"",'IP Input Sheet'!D14,IF('IP Input Sheet'!E14&lt;&gt;"",'IP Input Sheet'!E14,'IP Input Sheet'!F14)),"[Enter IP]")</x:f>
        <x:v>10.3.118.0/24</x:v>
      </x:c>
      <x:c r="E13" s="26" t="s">
        <x:v>638</x:v>
      </x:c>
      <x:c r="F13" s="26" t="str">
        <x:f>IFERROR(IF('IP Input Sheet'!D8&lt;&gt;"",'IP Input Sheet'!D8,IF('IP Input Sheet'!E8&lt;&gt;"",'IP Input Sheet'!E8,'IP Input Sheet'!F8)),"[Enter IP]")</x:f>
        <x:v>10.5.25.64/26</x:v>
      </x:c>
      <x:c r="G13" s="26" t="s">
        <x:v>658</x:v>
      </x:c>
      <x:c r="H13" s="26" t="s">
        <x:v>252</x:v>
      </x:c>
      <x:c r="I13" s="26" t="s">
        <x:v>644</x:v>
      </x:c>
      <x:c r="J13" s="24" t="s">
        <x:v>254</x:v>
      </x:c>
      <x:c r="K13" s="25" t="s">
        <x:v>255</x:v>
      </x:c>
      <x:c r="L13" s="26" t="s">
        <x:v>256</x:v>
      </x:c>
      <x:c r="M13" s="26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5" customHeight="1">
      <x:c r="A14" s="23" t="s">
        <x:v>659</x:v>
      </x:c>
      <x:c r="B14" s="23" t="s">
        <x:v>660</x:v>
      </x:c>
      <x:c r="C14" s="23" t="s">
        <x:v>47</x:v>
      </x:c>
      <x:c r="D14" s="23" t="str">
        <x:f>IFERROR(IF('IP Input Sheet'!D16&lt;&gt;"",'IP Input Sheet'!D16,IF('IP Input Sheet'!E16&lt;&gt;"",'IP Input Sheet'!E16,'IP Input Sheet'!F16)),"[Enter IP]")</x:f>
        <x:v>10.3.118.30</x:v>
      </x:c>
      <x:c r="E14" s="23" t="s">
        <x:v>623</x:v>
      </x:c>
      <x:c r="F14" s="23" t="str">
        <x:f>IFERROR(IF('IP Input Sheet'!D5&lt;&gt;"",'IP Input Sheet'!D5,IF('IP Input Sheet'!E5&lt;&gt;"",'IP Input Sheet'!E5,'IP Input Sheet'!F5)),"[Enter IP]")</x:f>
        <x:v>10.5.25.86</x:v>
      </x:c>
      <x:c r="G14" s="23" t="s">
        <x:v>251</x:v>
      </x:c>
      <x:c r="H14" s="23" t="s">
        <x:v>252</x:v>
      </x:c>
      <x:c r="I14" s="23" t="s">
        <x:v>661</x:v>
      </x:c>
      <x:c r="J14" s="24" t="s">
        <x:v>254</x:v>
      </x:c>
      <x:c r="K14" s="25" t="s">
        <x:v>255</x:v>
      </x:c>
      <x:c r="L14" s="23" t="s">
        <x:v>256</x:v>
      </x:c>
      <x:c r="M14" s="23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5" customHeight="1">
      <x:c r="A15" s="26" t="s">
        <x:v>662</x:v>
      </x:c>
      <x:c r="B15" s="26" t="s">
        <x:v>663</x:v>
      </x:c>
      <x:c r="C15" s="26" t="s">
        <x:v>47</x:v>
      </x:c>
      <x:c r="D15" s="26" t="str">
        <x:f>IFERROR(IF('IP Input Sheet'!D16&lt;&gt;"",'IP Input Sheet'!D16,IF('IP Input Sheet'!E16&lt;&gt;"",'IP Input Sheet'!E16,'IP Input Sheet'!F16)),"[Enter IP]")</x:f>
        <x:v>10.3.118.30</x:v>
      </x:c>
      <x:c r="E15" s="26" t="s">
        <x:v>623</x:v>
      </x:c>
      <x:c r="F15" s="26" t="str">
        <x:f>IFERROR(IF('IP Input Sheet'!D5&lt;&gt;"",'IP Input Sheet'!D5,IF('IP Input Sheet'!E5&lt;&gt;"",'IP Input Sheet'!E5,'IP Input Sheet'!F5)),"[Enter IP]")</x:f>
        <x:v>10.5.25.86</x:v>
      </x:c>
      <x:c r="G15" s="26" t="s">
        <x:v>287</x:v>
      </x:c>
      <x:c r="H15" s="26" t="s">
        <x:v>252</x:v>
      </x:c>
      <x:c r="I15" s="26" t="s">
        <x:v>664</x:v>
      </x:c>
      <x:c r="J15" s="24" t="s">
        <x:v>254</x:v>
      </x:c>
      <x:c r="K15" s="25" t="s">
        <x:v>255</x:v>
      </x:c>
      <x:c r="L15" s="26" t="s">
        <x:v>256</x:v>
      </x:c>
      <x:c r="M15" s="26" t="s">
        <x:v>289</x:v>
      </x:c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5" customHeight="1">
      <x:c r="A16" s="23" t="s">
        <x:v>665</x:v>
      </x:c>
      <x:c r="B16" s="23" t="s">
        <x:v>666</x:v>
      </x:c>
      <x:c r="C16" s="23" t="s">
        <x:v>47</x:v>
      </x:c>
      <x:c r="D16" s="23" t="str">
        <x:f>IFERROR(IF('IP Input Sheet'!D16&lt;&gt;"",'IP Input Sheet'!D16,IF('IP Input Sheet'!E16&lt;&gt;"",'IP Input Sheet'!E16,'IP Input Sheet'!F16)),"[Enter IP]")</x:f>
        <x:v>10.3.118.30</x:v>
      </x:c>
      <x:c r="E16" s="23" t="s">
        <x:v>18</x:v>
      </x:c>
      <x:c r="F16" s="23" t="str">
        <x:f>IFERROR(IF('IP Input Sheet'!D7&lt;&gt;"",'IP Input Sheet'!D7,IF('IP Input Sheet'!E7&lt;&gt;"",'IP Input Sheet'!E7,'IP Input Sheet'!F7)),"[Enter IP]")</x:f>
        <x:v>10.5.25.64/26</x:v>
      </x:c>
      <x:c r="G16" s="23" t="s">
        <x:v>251</x:v>
      </x:c>
      <x:c r="H16" s="23" t="s">
        <x:v>252</x:v>
      </x:c>
      <x:c r="I16" s="23" t="s">
        <x:v>667</x:v>
      </x:c>
      <x:c r="J16" s="24" t="s">
        <x:v>254</x:v>
      </x:c>
      <x:c r="K16" s="25" t="s">
        <x:v>255</x:v>
      </x:c>
      <x:c r="L16" s="23" t="s">
        <x:v>256</x:v>
      </x:c>
      <x:c r="M16" s="23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5" customHeight="1">
      <x:c r="A17" s="26" t="s">
        <x:v>668</x:v>
      </x:c>
      <x:c r="B17" s="26" t="s">
        <x:v>669</x:v>
      </x:c>
      <x:c r="C17" s="26" t="s">
        <x:v>47</x:v>
      </x:c>
      <x:c r="D17" s="26" t="str">
        <x:f>IFERROR(IF('IP Input Sheet'!D16&lt;&gt;"",'IP Input Sheet'!D16,IF('IP Input Sheet'!E16&lt;&gt;"",'IP Input Sheet'!E16,'IP Input Sheet'!F16)),"[Enter IP]")</x:f>
        <x:v>10.3.118.30</x:v>
      </x:c>
      <x:c r="E17" s="26" t="s">
        <x:v>18</x:v>
      </x:c>
      <x:c r="F17" s="26" t="str">
        <x:f>IFERROR(IF('IP Input Sheet'!D7&lt;&gt;"",'IP Input Sheet'!D7,IF('IP Input Sheet'!E7&lt;&gt;"",'IP Input Sheet'!E7,'IP Input Sheet'!F7)),"[Enter IP]")</x:f>
        <x:v>10.5.25.64/26</x:v>
      </x:c>
      <x:c r="G17" s="26" t="s">
        <x:v>287</x:v>
      </x:c>
      <x:c r="H17" s="26" t="s">
        <x:v>252</x:v>
      </x:c>
      <x:c r="I17" s="26" t="s">
        <x:v>670</x:v>
      </x:c>
      <x:c r="J17" s="24" t="s">
        <x:v>254</x:v>
      </x:c>
      <x:c r="K17" s="25" t="s">
        <x:v>255</x:v>
      </x:c>
      <x:c r="L17" s="26" t="s">
        <x:v>256</x:v>
      </x:c>
      <x:c r="M17" s="26" t="s">
        <x:v>289</x:v>
      </x:c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5" customHeight="1">
      <x:c r="A18" s="23" t="s">
        <x:v>671</x:v>
      </x:c>
      <x:c r="B18" s="23" t="s">
        <x:v>672</x:v>
      </x:c>
      <x:c r="C18" s="23" t="s">
        <x:v>47</x:v>
      </x:c>
      <x:c r="D18" s="23" t="str">
        <x:f>IFERROR(IF('IP Input Sheet'!D16&lt;&gt;"",'IP Input Sheet'!D16,IF('IP Input Sheet'!E16&lt;&gt;"",'IP Input Sheet'!E16,'IP Input Sheet'!F16)),"[Enter IP]")</x:f>
        <x:v>10.3.118.30</x:v>
      </x:c>
      <x:c r="E18" s="23" t="s">
        <x:v>14</x:v>
      </x:c>
      <x:c r="F18" s="23" t="str">
        <x:f>IFERROR(IF('IP Input Sheet'!D6&lt;&gt;"",'IP Input Sheet'!D6,IF('IP Input Sheet'!E6&lt;&gt;"",'IP Input Sheet'!E6,'IP Input Sheet'!F6)),"[Enter IP]")</x:f>
        <x:v>10.5.25.64/26</x:v>
      </x:c>
      <x:c r="G18" s="23" t="s">
        <x:v>251</x:v>
      </x:c>
      <x:c r="H18" s="23" t="s">
        <x:v>252</x:v>
      </x:c>
      <x:c r="I18" s="23" t="s">
        <x:v>673</x:v>
      </x:c>
      <x:c r="J18" s="24" t="s">
        <x:v>254</x:v>
      </x:c>
      <x:c r="K18" s="25" t="s">
        <x:v>255</x:v>
      </x:c>
      <x:c r="L18" s="23" t="s">
        <x:v>256</x:v>
      </x:c>
      <x:c r="M18" s="23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5" customHeight="1">
      <x:c r="A19" s="26" t="s">
        <x:v>674</x:v>
      </x:c>
      <x:c r="B19" s="26" t="s">
        <x:v>675</x:v>
      </x:c>
      <x:c r="C19" s="26" t="s">
        <x:v>47</x:v>
      </x:c>
      <x:c r="D19" s="26" t="str">
        <x:f>IFERROR(IF('IP Input Sheet'!D16&lt;&gt;"",'IP Input Sheet'!D16,IF('IP Input Sheet'!E16&lt;&gt;"",'IP Input Sheet'!E16,'IP Input Sheet'!F16)),"[Enter IP]")</x:f>
        <x:v>10.3.118.30</x:v>
      </x:c>
      <x:c r="E19" s="26" t="s">
        <x:v>14</x:v>
      </x:c>
      <x:c r="F19" s="26" t="str">
        <x:f>IFERROR(IF('IP Input Sheet'!D6&lt;&gt;"",'IP Input Sheet'!D6,IF('IP Input Sheet'!E6&lt;&gt;"",'IP Input Sheet'!E6,'IP Input Sheet'!F6)),"[Enter IP]")</x:f>
        <x:v>10.5.25.64/26</x:v>
      </x:c>
      <x:c r="G19" s="26" t="s">
        <x:v>287</x:v>
      </x:c>
      <x:c r="H19" s="26" t="s">
        <x:v>252</x:v>
      </x:c>
      <x:c r="I19" s="26" t="s">
        <x:v>676</x:v>
      </x:c>
      <x:c r="J19" s="24" t="s">
        <x:v>254</x:v>
      </x:c>
      <x:c r="K19" s="25" t="s">
        <x:v>255</x:v>
      </x:c>
      <x:c r="L19" s="26" t="s">
        <x:v>256</x:v>
      </x:c>
      <x:c r="M19" s="26" t="s">
        <x:v>289</x:v>
      </x:c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5" customHeight="1">
      <x:c r="A20" s="23" t="s">
        <x:v>677</x:v>
      </x:c>
      <x:c r="B20" s="23" t="s">
        <x:v>678</x:v>
      </x:c>
      <x:c r="C20" s="23" t="s">
        <x:v>47</x:v>
      </x:c>
      <x:c r="D20" s="23" t="str">
        <x:f>IFERROR(IF('IP Input Sheet'!D16&lt;&gt;"",'IP Input Sheet'!D16,IF('IP Input Sheet'!E16&lt;&gt;"",'IP Input Sheet'!E16,'IP Input Sheet'!F16)),"[Enter IP]")</x:f>
        <x:v>10.3.118.30</x:v>
      </x:c>
      <x:c r="E20" s="23" t="s">
        <x:v>638</x:v>
      </x:c>
      <x:c r="F20" s="23" t="str">
        <x:f>IFERROR(IF('IP Input Sheet'!D8&lt;&gt;"",'IP Input Sheet'!D8,IF('IP Input Sheet'!E8&lt;&gt;"",'IP Input Sheet'!E8,'IP Input Sheet'!F8)),"[Enter IP]")</x:f>
        <x:v>10.5.25.64/26</x:v>
      </x:c>
      <x:c r="G20" s="23" t="s">
        <x:v>639</x:v>
      </x:c>
      <x:c r="H20" s="23" t="s">
        <x:v>252</x:v>
      </x:c>
      <x:c r="I20" s="23" t="s">
        <x:v>679</x:v>
      </x:c>
      <x:c r="J20" s="24" t="s">
        <x:v>254</x:v>
      </x:c>
      <x:c r="K20" s="25" t="s">
        <x:v>255</x:v>
      </x:c>
      <x:c r="L20" s="23" t="s">
        <x:v>256</x:v>
      </x:c>
      <x:c r="M20" s="23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5" customHeight="1">
      <x:c r="A21" s="26" t="s">
        <x:v>680</x:v>
      </x:c>
      <x:c r="B21" s="26" t="s">
        <x:v>681</x:v>
      </x:c>
      <x:c r="C21" s="26" t="s">
        <x:v>47</x:v>
      </x:c>
      <x:c r="D21" s="26" t="str">
        <x:f>IFERROR(IF('IP Input Sheet'!D16&lt;&gt;"",'IP Input Sheet'!D16,IF('IP Input Sheet'!E16&lt;&gt;"",'IP Input Sheet'!E16,'IP Input Sheet'!F16)),"[Enter IP]")</x:f>
        <x:v>10.3.118.30</x:v>
      </x:c>
      <x:c r="E21" s="26" t="s">
        <x:v>638</x:v>
      </x:c>
      <x:c r="F21" s="26" t="str">
        <x:f>IFERROR(IF('IP Input Sheet'!D8&lt;&gt;"",'IP Input Sheet'!D8,IF('IP Input Sheet'!E8&lt;&gt;"",'IP Input Sheet'!E8,'IP Input Sheet'!F8)),"[Enter IP]")</x:f>
        <x:v>10.5.25.64/26</x:v>
      </x:c>
      <x:c r="G21" s="26" t="s">
        <x:v>682</x:v>
      </x:c>
      <x:c r="H21" s="26" t="s">
        <x:v>252</x:v>
      </x:c>
      <x:c r="I21" s="26" t="s">
        <x:v>683</x:v>
      </x:c>
      <x:c r="J21" s="24" t="s">
        <x:v>254</x:v>
      </x:c>
      <x:c r="K21" s="25" t="s">
        <x:v>255</x:v>
      </x:c>
      <x:c r="L21" s="26" t="s">
        <x:v>256</x:v>
      </x:c>
      <x:c r="M21" s="26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" customHeight="1">
      <x:c r="A22" s="23" t="s">
        <x:v>684</x:v>
      </x:c>
      <x:c r="B22" s="23" t="s">
        <x:v>685</x:v>
      </x:c>
      <x:c r="C22" s="23" t="s">
        <x:v>47</x:v>
      </x:c>
      <x:c r="D22" s="23" t="str">
        <x:f>IFERROR(IF('IP Input Sheet'!D16&lt;&gt;"",'IP Input Sheet'!D16,IF('IP Input Sheet'!E16&lt;&gt;"",'IP Input Sheet'!E16,'IP Input Sheet'!F16)),"[Enter IP]")</x:f>
        <x:v>10.3.118.30</x:v>
      </x:c>
      <x:c r="E22" s="23" t="s">
        <x:v>638</x:v>
      </x:c>
      <x:c r="F22" s="23" t="str">
        <x:f>IFERROR(IF('IP Input Sheet'!D8&lt;&gt;"",'IP Input Sheet'!D8,IF('IP Input Sheet'!E8&lt;&gt;"",'IP Input Sheet'!E8,'IP Input Sheet'!F8)),"[Enter IP]")</x:f>
        <x:v>10.5.25.64/26</x:v>
      </x:c>
      <x:c r="G22" s="23" t="s">
        <x:v>251</x:v>
      </x:c>
      <x:c r="H22" s="23" t="s">
        <x:v>252</x:v>
      </x:c>
      <x:c r="I22" s="23" t="s">
        <x:v>686</x:v>
      </x:c>
      <x:c r="J22" s="24" t="s">
        <x:v>254</x:v>
      </x:c>
      <x:c r="K22" s="25" t="s">
        <x:v>255</x:v>
      </x:c>
      <x:c r="L22" s="23" t="s">
        <x:v>256</x:v>
      </x:c>
      <x:c r="M22" s="23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5" customHeight="1">
      <x:c r="A23" s="26" t="s">
        <x:v>687</x:v>
      </x:c>
      <x:c r="B23" s="26" t="s">
        <x:v>688</x:v>
      </x:c>
      <x:c r="C23" s="26" t="s">
        <x:v>47</x:v>
      </x:c>
      <x:c r="D23" s="26" t="str">
        <x:f>IFERROR(IF('IP Input Sheet'!D16&lt;&gt;"",'IP Input Sheet'!D16,IF('IP Input Sheet'!E16&lt;&gt;"",'IP Input Sheet'!E16,'IP Input Sheet'!F16)),"[Enter IP]")</x:f>
        <x:v>10.3.118.30</x:v>
      </x:c>
      <x:c r="E23" s="26" t="s">
        <x:v>638</x:v>
      </x:c>
      <x:c r="F23" s="26" t="str">
        <x:f>IFERROR(IF('IP Input Sheet'!D8&lt;&gt;"",'IP Input Sheet'!D8,IF('IP Input Sheet'!E8&lt;&gt;"",'IP Input Sheet'!E8,'IP Input Sheet'!F8)),"[Enter IP]")</x:f>
        <x:v>10.5.25.64/26</x:v>
      </x:c>
      <x:c r="G23" s="26" t="s">
        <x:v>689</x:v>
      </x:c>
      <x:c r="H23" s="26" t="s">
        <x:v>252</x:v>
      </x:c>
      <x:c r="I23" s="26" t="s">
        <x:v>690</x:v>
      </x:c>
      <x:c r="J23" s="24" t="s">
        <x:v>254</x:v>
      </x:c>
      <x:c r="K23" s="25" t="s">
        <x:v>255</x:v>
      </x:c>
      <x:c r="L23" s="26" t="s">
        <x:v>256</x:v>
      </x:c>
      <x:c r="M23" s="26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5" customHeight="1">
      <x:c r="A24" s="23" t="s">
        <x:v>691</x:v>
      </x:c>
      <x:c r="B24" s="23" t="s">
        <x:v>692</x:v>
      </x:c>
      <x:c r="C24" s="23" t="s">
        <x:v>47</x:v>
      </x:c>
      <x:c r="D24" s="23" t="str">
        <x:f>IFERROR(IF('IP Input Sheet'!D16&lt;&gt;"",'IP Input Sheet'!D16,IF('IP Input Sheet'!E16&lt;&gt;"",'IP Input Sheet'!E16,'IP Input Sheet'!F16)),"[Enter IP]")</x:f>
        <x:v>10.3.118.30</x:v>
      </x:c>
      <x:c r="E24" s="23" t="s">
        <x:v>27</x:v>
      </x:c>
      <x:c r="F24" s="23" t="str">
        <x:f>IFERROR(IF('IP Input Sheet'!D10&lt;&gt;"",'IP Input Sheet'!D10,IF('IP Input Sheet'!E10&lt;&gt;"",'IP Input Sheet'!E10,'IP Input Sheet'!F10)),"[Enter IP]")</x:f>
        <x:v>10.3.118.0/24</x:v>
      </x:c>
      <x:c r="G24" s="23" t="s">
        <x:v>251</x:v>
      </x:c>
      <x:c r="H24" s="23" t="s">
        <x:v>252</x:v>
      </x:c>
      <x:c r="I24" s="23" t="s">
        <x:v>693</x:v>
      </x:c>
      <x:c r="J24" s="24" t="s">
        <x:v>254</x:v>
      </x:c>
      <x:c r="K24" s="25" t="s">
        <x:v>255</x:v>
      </x:c>
      <x:c r="L24" s="23" t="s">
        <x:v>256</x:v>
      </x:c>
      <x:c r="M24" s="23" t="s">
        <x:v>694</x:v>
      </x:c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5" customHeight="1">
      <x:c r="A25" s="26" t="s">
        <x:v>695</x:v>
      </x:c>
      <x:c r="B25" s="26" t="s">
        <x:v>696</x:v>
      </x:c>
      <x:c r="C25" s="26" t="s">
        <x:v>47</x:v>
      </x:c>
      <x:c r="D25" s="26" t="str">
        <x:f>IFERROR(IF('IP Input Sheet'!D16&lt;&gt;"",'IP Input Sheet'!D16,IF('IP Input Sheet'!E16&lt;&gt;"",'IP Input Sheet'!E16,'IP Input Sheet'!F16)),"[Enter IP]")</x:f>
        <x:v>10.3.118.30</x:v>
      </x:c>
      <x:c r="E25" s="26" t="s">
        <x:v>27</x:v>
      </x:c>
      <x:c r="F25" s="26" t="str">
        <x:f>IFERROR(IF('IP Input Sheet'!D10&lt;&gt;"",'IP Input Sheet'!D10,IF('IP Input Sheet'!E10&lt;&gt;"",'IP Input Sheet'!E10,'IP Input Sheet'!F10)),"[Enter IP]")</x:f>
        <x:v>10.3.118.0/24</x:v>
      </x:c>
      <x:c r="G25" s="26" t="s">
        <x:v>287</x:v>
      </x:c>
      <x:c r="H25" s="26" t="s">
        <x:v>252</x:v>
      </x:c>
      <x:c r="I25" s="26" t="s">
        <x:v>697</x:v>
      </x:c>
      <x:c r="J25" s="24" t="s">
        <x:v>254</x:v>
      </x:c>
      <x:c r="K25" s="25" t="s">
        <x:v>255</x:v>
      </x:c>
      <x:c r="L25" s="26" t="s">
        <x:v>256</x:v>
      </x:c>
      <x:c r="M25" s="26" t="s">
        <x:v>698</x:v>
      </x:c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5" customHeight="1">
      <x:c r="A26" s="23" t="s">
        <x:v>699</x:v>
      </x:c>
      <x:c r="B26" s="23" t="s">
        <x:v>700</x:v>
      </x:c>
      <x:c r="C26" s="23" t="s">
        <x:v>282</x:v>
      </x:c>
      <x:c r="D26" s="23" t="str">
        <x:f>IFERROR(IF('IP Input Sheet'!D54&lt;&gt;"",'IP Input Sheet'!D54,IF('IP Input Sheet'!E54&lt;&gt;"",'IP Input Sheet'!E54,'IP Input Sheet'!F54)),"[Enter IP]")</x:f>
        <x:v>10.3.118.0/24</x:v>
      </x:c>
      <x:c r="E26" s="23" t="s">
        <x:v>638</x:v>
      </x:c>
      <x:c r="F26" s="23" t="str">
        <x:f>IFERROR(IF('IP Input Sheet'!D8&lt;&gt;"",'IP Input Sheet'!D8,IF('IP Input Sheet'!E8&lt;&gt;"",'IP Input Sheet'!E8,'IP Input Sheet'!F8)),"[Enter IP]")</x:f>
        <x:v>10.5.25.64/26</x:v>
      </x:c>
      <x:c r="G26" s="23" t="s">
        <x:v>639</x:v>
      </x:c>
      <x:c r="H26" s="23" t="s">
        <x:v>272</x:v>
      </x:c>
      <x:c r="I26" s="23" t="s">
        <x:v>701</x:v>
      </x:c>
      <x:c r="J26" s="24" t="s">
        <x:v>254</x:v>
      </x:c>
      <x:c r="K26" s="25" t="s">
        <x:v>255</x:v>
      </x:c>
      <x:c r="L26" s="23" t="s">
        <x:v>256</x:v>
      </x:c>
      <x:c r="M26" s="23" t="s">
        <x:v>702</x:v>
      </x:c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5" customHeight="1">
      <x:c r="A27" s="26" t="s">
        <x:v>703</x:v>
      </x:c>
      <x:c r="B27" s="26" t="s">
        <x:v>704</x:v>
      </x:c>
      <x:c r="C27" s="26" t="s">
        <x:v>282</x:v>
      </x:c>
      <x:c r="D27" s="26" t="str">
        <x:f>IFERROR(IF('IP Input Sheet'!D54&lt;&gt;"",'IP Input Sheet'!D54,IF('IP Input Sheet'!E54&lt;&gt;"",'IP Input Sheet'!E54,'IP Input Sheet'!F54)),"[Enter IP]")</x:f>
        <x:v>10.3.118.0/24</x:v>
      </x:c>
      <x:c r="E27" s="26" t="s">
        <x:v>638</x:v>
      </x:c>
      <x:c r="F27" s="26" t="str">
        <x:f>IFERROR(IF('IP Input Sheet'!D8&lt;&gt;"",'IP Input Sheet'!D8,IF('IP Input Sheet'!E8&lt;&gt;"",'IP Input Sheet'!E8,'IP Input Sheet'!F8)),"[Enter IP]")</x:f>
        <x:v>10.5.25.64/26</x:v>
      </x:c>
      <x:c r="G27" s="26" t="s">
        <x:v>643</x:v>
      </x:c>
      <x:c r="H27" s="26" t="s">
        <x:v>252</x:v>
      </x:c>
      <x:c r="I27" s="26" t="s">
        <x:v>705</x:v>
      </x:c>
      <x:c r="J27" s="24" t="s">
        <x:v>254</x:v>
      </x:c>
      <x:c r="K27" s="25" t="s">
        <x:v>255</x:v>
      </x:c>
      <x:c r="L27" s="26" t="s">
        <x:v>256</x:v>
      </x:c>
      <x:c r="M27" s="26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5" customHeight="1">
      <x:c r="A28" s="23" t="s">
        <x:v>706</x:v>
      </x:c>
      <x:c r="B28" s="23" t="s">
        <x:v>707</x:v>
      </x:c>
      <x:c r="C28" s="23" t="s">
        <x:v>282</x:v>
      </x:c>
      <x:c r="D28" s="23" t="str">
        <x:f>IFERROR(IF('IP Input Sheet'!D54&lt;&gt;"",'IP Input Sheet'!D54,IF('IP Input Sheet'!E54&lt;&gt;"",'IP Input Sheet'!E54,'IP Input Sheet'!F54)),"[Enter IP]")</x:f>
        <x:v>10.3.118.0/24</x:v>
      </x:c>
      <x:c r="E28" s="23" t="s">
        <x:v>647</x:v>
      </x:c>
      <x:c r="F28" s="23" t="str">
        <x:f>IFERROR(IF('IP Input Sheet'!D9&lt;&gt;"",'IP Input Sheet'!D9,IF('IP Input Sheet'!E9&lt;&gt;"",'IP Input Sheet'!E9,'IP Input Sheet'!F9)),"[Enter IP]")</x:f>
        <x:v>10.5.25.64/26</x:v>
      </x:c>
      <x:c r="G28" s="23" t="s">
        <x:v>382</x:v>
      </x:c>
      <x:c r="H28" s="23" t="s">
        <x:v>272</x:v>
      </x:c>
      <x:c r="I28" s="23" t="s">
        <x:v>708</x:v>
      </x:c>
      <x:c r="J28" s="24" t="s">
        <x:v>254</x:v>
      </x:c>
      <x:c r="K28" s="25" t="s">
        <x:v>255</x:v>
      </x:c>
      <x:c r="L28" s="23" t="s">
        <x:v>256</x:v>
      </x:c>
      <x:c r="M28" s="23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5" customHeight="1">
      <x:c r="A29" s="26" t="s">
        <x:v>709</x:v>
      </x:c>
      <x:c r="B29" s="26" t="s">
        <x:v>710</x:v>
      </x:c>
      <x:c r="C29" s="26" t="s">
        <x:v>592</x:v>
      </x:c>
      <x:c r="D29" s="26" t="str">
        <x:f>IFERROR(IF('IP Input Sheet'!D18&lt;&gt;"",'IP Input Sheet'!D18,IF('IP Input Sheet'!E18&lt;&gt;"",'IP Input Sheet'!E18,'IP Input Sheet'!F18)),"[Enter IP]")</x:f>
        <x:v>10.3.118.0/24</x:v>
      </x:c>
      <x:c r="E29" s="26" t="s">
        <x:v>638</x:v>
      </x:c>
      <x:c r="F29" s="26" t="str">
        <x:f>IFERROR(IF('IP Input Sheet'!D8&lt;&gt;"",'IP Input Sheet'!D8,IF('IP Input Sheet'!E8&lt;&gt;"",'IP Input Sheet'!E8,'IP Input Sheet'!F8)),"[Enter IP]")</x:f>
        <x:v>10.5.25.64/26</x:v>
      </x:c>
      <x:c r="G29" s="26" t="s">
        <x:v>639</x:v>
      </x:c>
      <x:c r="H29" s="26" t="s">
        <x:v>272</x:v>
      </x:c>
      <x:c r="I29" s="26" t="s">
        <x:v>711</x:v>
      </x:c>
      <x:c r="J29" s="24" t="s">
        <x:v>254</x:v>
      </x:c>
      <x:c r="K29" s="25" t="s">
        <x:v>255</x:v>
      </x:c>
      <x:c r="L29" s="26" t="s">
        <x:v>256</x:v>
      </x:c>
      <x:c r="M29" s="26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5" customHeight="1">
      <x:c r="A30" s="23" t="s">
        <x:v>712</x:v>
      </x:c>
      <x:c r="B30" s="23" t="s">
        <x:v>713</x:v>
      </x:c>
      <x:c r="C30" s="23" t="s">
        <x:v>592</x:v>
      </x:c>
      <x:c r="D30" s="23" t="str">
        <x:f>IFERROR(IF('IP Input Sheet'!D18&lt;&gt;"",'IP Input Sheet'!D18,IF('IP Input Sheet'!E18&lt;&gt;"",'IP Input Sheet'!E18,'IP Input Sheet'!F18)),"[Enter IP]")</x:f>
        <x:v>10.3.118.0/24</x:v>
      </x:c>
      <x:c r="E30" s="23" t="s">
        <x:v>638</x:v>
      </x:c>
      <x:c r="F30" s="23" t="str">
        <x:f>IFERROR(IF('IP Input Sheet'!D8&lt;&gt;"",'IP Input Sheet'!D8,IF('IP Input Sheet'!E8&lt;&gt;"",'IP Input Sheet'!E8,'IP Input Sheet'!F8)),"[Enter IP]")</x:f>
        <x:v>10.5.25.64/26</x:v>
      </x:c>
      <x:c r="G30" s="23" t="s">
        <x:v>643</x:v>
      </x:c>
      <x:c r="H30" s="23" t="s">
        <x:v>252</x:v>
      </x:c>
      <x:c r="I30" s="23" t="s">
        <x:v>714</x:v>
      </x:c>
      <x:c r="J30" s="24" t="s">
        <x:v>254</x:v>
      </x:c>
      <x:c r="K30" s="25" t="s">
        <x:v>255</x:v>
      </x:c>
      <x:c r="L30" s="23" t="s">
        <x:v>256</x:v>
      </x:c>
      <x:c r="M30" s="23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21.75" customHeight="1">
      <x:c r="A31" s="26" t="s">
        <x:v>715</x:v>
      </x:c>
      <x:c r="B31" s="26" t="s">
        <x:v>716</x:v>
      </x:c>
      <x:c r="C31" s="26" t="s">
        <x:v>717</x:v>
      </x:c>
      <x:c r="D31" s="26" t="str">
        <x:f>IFERROR(IF('IP Input Sheet'!D18&lt;&gt;"",'IP Input Sheet'!D18,IF('IP Input Sheet'!E18&lt;&gt;"",'IP Input Sheet'!E18,'IP Input Sheet'!F18)),"[Enter IP]")</x:f>
        <x:v>10.3.118.0/24</x:v>
      </x:c>
      <x:c r="E31" s="26" t="s">
        <x:v>718</x:v>
      </x:c>
      <x:c r="F31" s="26" t="s">
        <x:v>719</x:v>
      </x:c>
      <x:c r="G31" s="26" t="s">
        <x:v>720</x:v>
      </x:c>
      <x:c r="H31" s="26" t="s">
        <x:v>720</x:v>
      </x:c>
      <x:c r="I31" s="26" t="s">
        <x:v>721</x:v>
      </x:c>
      <x:c r="J31" s="24" t="s">
        <x:v>254</x:v>
      </x:c>
      <x:c r="K31" s="25" t="s">
        <x:v>255</x:v>
      </x:c>
      <x:c r="L31" s="26" t="s">
        <x:v>261</x:v>
      </x:c>
      <x:c r="M31" s="26" t="s">
        <x:v>722</x:v>
      </x:c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5" customHeight="1">
      <x:c r="A32" s="23" t="s">
        <x:v>723</x:v>
      </x:c>
      <x:c r="B32" s="23" t="s">
        <x:v>724</x:v>
      </x:c>
      <x:c r="C32" s="23" t="s">
        <x:v>402</x:v>
      </x:c>
      <x:c r="D32" s="23" t="str">
        <x:f>IFERROR(IF('IP Input Sheet'!D19&lt;&gt;"",'IP Input Sheet'!D19,IF('IP Input Sheet'!E19&lt;&gt;"",'IP Input Sheet'!E19,'IP Input Sheet'!F19)),"[Enter IP]")</x:f>
        <x:v>10.3.118.101</x:v>
      </x:c>
      <x:c r="E32" s="23" t="s">
        <x:v>376</x:v>
      </x:c>
      <x:c r="F32" s="23" t="str">
        <x:f>IFERROR(IF('IP Input Sheet'!D9&lt;&gt;"",'IP Input Sheet'!D9,IF('IP Input Sheet'!E9&lt;&gt;"",'IP Input Sheet'!E9,'IP Input Sheet'!F9)),"[Enter IP]")</x:f>
        <x:v>10.5.25.64/26</x:v>
      </x:c>
      <x:c r="G32" s="23" t="s">
        <x:v>251</x:v>
      </x:c>
      <x:c r="H32" s="23" t="s">
        <x:v>252</x:v>
      </x:c>
      <x:c r="I32" s="23" t="s">
        <x:v>725</x:v>
      </x:c>
      <x:c r="J32" s="24" t="s">
        <x:v>254</x:v>
      </x:c>
      <x:c r="K32" s="25" t="s">
        <x:v>255</x:v>
      </x:c>
      <x:c r="L32" s="23" t="s">
        <x:v>256</x:v>
      </x:c>
      <x:c r="M32" s="23" t="s">
        <x:v>404</x:v>
      </x:c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5" customHeight="1">
      <x:c r="A33" s="26" t="s">
        <x:v>726</x:v>
      </x:c>
      <x:c r="B33" s="26" t="s">
        <x:v>727</x:v>
      </x:c>
      <x:c r="C33" s="26" t="s">
        <x:v>402</x:v>
      </x:c>
      <x:c r="D33" s="26" t="str">
        <x:f>IFERROR(IF('IP Input Sheet'!D19&lt;&gt;"",'IP Input Sheet'!D19,IF('IP Input Sheet'!E19&lt;&gt;"",'IP Input Sheet'!E19,'IP Input Sheet'!F19)),"[Enter IP]")</x:f>
        <x:v>10.3.118.101</x:v>
      </x:c>
      <x:c r="E33" s="26" t="s">
        <x:v>267</x:v>
      </x:c>
      <x:c r="F33" s="26" t="str">
        <x:f>IFERROR(IF('IP Input Sheet'!D14&lt;&gt;"",'IP Input Sheet'!D14,IF('IP Input Sheet'!E14&lt;&gt;"",'IP Input Sheet'!E14,'IP Input Sheet'!F14)),"[Enter IP]")</x:f>
        <x:v>10.3.118.0/24</x:v>
      </x:c>
      <x:c r="G33" s="26" t="s">
        <x:v>251</x:v>
      </x:c>
      <x:c r="H33" s="26" t="s">
        <x:v>252</x:v>
      </x:c>
      <x:c r="I33" s="26" t="s">
        <x:v>728</x:v>
      </x:c>
      <x:c r="J33" s="24" t="s">
        <x:v>254</x:v>
      </x:c>
      <x:c r="K33" s="25" t="s">
        <x:v>255</x:v>
      </x:c>
      <x:c r="L33" s="26" t="s">
        <x:v>256</x:v>
      </x:c>
      <x:c r="M33" s="26" t="s">
        <x:v>412</x:v>
      </x:c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5" customHeight="1">
      <x:c r="A34" s="23" t="s">
        <x:v>729</x:v>
      </x:c>
      <x:c r="B34" s="23" t="s">
        <x:v>730</x:v>
      </x:c>
      <x:c r="C34" s="23" t="s">
        <x:v>402</x:v>
      </x:c>
      <x:c r="D34" s="23" t="str">
        <x:f>IFERROR(IF('IP Input Sheet'!D19&lt;&gt;"",'IP Input Sheet'!D19,IF('IP Input Sheet'!E19&lt;&gt;"",'IP Input Sheet'!E19,'IP Input Sheet'!F19)),"[Enter IP]")</x:f>
        <x:v>10.3.118.101</x:v>
      </x:c>
      <x:c r="E34" s="23" t="s">
        <x:v>36</x:v>
      </x:c>
      <x:c r="F34" s="23" t="str">
        <x:f>IFERROR(IF('IP Input Sheet'!D13&lt;&gt;"",'IP Input Sheet'!D13,IF('IP Input Sheet'!E13&lt;&gt;"",'IP Input Sheet'!E13,'IP Input Sheet'!F13)),"[Enter IP]")</x:f>
        <x:v>10.3.118.18</x:v>
      </x:c>
      <x:c r="G34" s="23" t="s">
        <x:v>251</x:v>
      </x:c>
      <x:c r="H34" s="23" t="s">
        <x:v>252</x:v>
      </x:c>
      <x:c r="I34" s="23" t="s">
        <x:v>731</x:v>
      </x:c>
      <x:c r="J34" s="24" t="s">
        <x:v>254</x:v>
      </x:c>
      <x:c r="K34" s="25" t="s">
        <x:v>255</x:v>
      </x:c>
      <x:c r="L34" s="23" t="s">
        <x:v>256</x:v>
      </x:c>
      <x:c r="M34" s="23" t="s">
        <x:v>412</x:v>
      </x:c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5" customHeight="1">
      <x:c r="A35" s="26" t="s">
        <x:v>732</x:v>
      </x:c>
      <x:c r="B35" s="26" t="s">
        <x:v>733</x:v>
      </x:c>
      <x:c r="C35" s="26" t="s">
        <x:v>47</x:v>
      </x:c>
      <x:c r="D35" s="26" t="str">
        <x:f>IFERROR(IF('IP Input Sheet'!D16&lt;&gt;"",'IP Input Sheet'!D16,IF('IP Input Sheet'!E16&lt;&gt;"",'IP Input Sheet'!E16,'IP Input Sheet'!F16)),"[Enter IP]")</x:f>
        <x:v>10.3.118.30</x:v>
      </x:c>
      <x:c r="E35" s="26" t="s">
        <x:v>402</x:v>
      </x:c>
      <x:c r="F35" s="26" t="str">
        <x:f>IFERROR(IF('IP Input Sheet'!D19&lt;&gt;"",'IP Input Sheet'!D19,IF('IP Input Sheet'!E19&lt;&gt;"",'IP Input Sheet'!E19,'IP Input Sheet'!F19)),"[Enter IP]")</x:f>
        <x:v>10.3.118.101</x:v>
      </x:c>
      <x:c r="G35" s="26" t="s">
        <x:v>251</x:v>
      </x:c>
      <x:c r="H35" s="26" t="s">
        <x:v>252</x:v>
      </x:c>
      <x:c r="I35" s="26" t="s">
        <x:v>734</x:v>
      </x:c>
      <x:c r="J35" s="24" t="s">
        <x:v>254</x:v>
      </x:c>
      <x:c r="K35" s="25" t="s">
        <x:v>255</x:v>
      </x:c>
      <x:c r="L35" s="26" t="s">
        <x:v>256</x:v>
      </x:c>
      <x:c r="M35" s="26" t="s">
        <x:v>412</x:v>
      </x:c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5" customHeight="1">
      <x:c r="A36" s="11" t="s">
        <x:v>735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3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25.5" customHeight="1">
      <x:c r="A37" s="33" t="s">
        <x:v>736</x:v>
      </x:c>
      <x:c r="B37" s="33" t="s">
        <x:v>737</x:v>
      </x:c>
      <x:c r="C37" s="34" t="s">
        <x:v>527</x:v>
      </x:c>
      <x:c r="D37" s="34" t="str">
        <x:f>IFERROR(IF('IP Input Sheet'!D14&lt;&gt;"",'IP Input Sheet'!D14,IF('IP Input Sheet'!E14&lt;&gt;"",'IP Input Sheet'!E14,'IP Input Sheet'!F14)),"[Enter IP]")</x:f>
        <x:v>10.3.118.0/24</x:v>
      </x:c>
      <x:c r="E37" s="34" t="s">
        <x:v>511</x:v>
      </x:c>
      <x:c r="F37" s="34" t="str">
        <x:f>IFERROR(IF('IP Input Sheet'!D15&lt;&gt;"",'IP Input Sheet'!D15,IF('IP Input Sheet'!E15&lt;&gt;"",'IP Input Sheet'!E15,'IP Input Sheet'!F15)),"[Enter IP]")</x:f>
        <x:v>10.3.118.0/24</x:v>
      </x:c>
      <x:c r="G37" s="34" t="s">
        <x:v>251</x:v>
      </x:c>
      <x:c r="H37" s="34" t="s">
        <x:v>252</x:v>
      </x:c>
      <x:c r="I37" s="34" t="s">
        <x:v>738</x:v>
      </x:c>
      <x:c r="J37" s="24" t="s">
        <x:v>254</x:v>
      </x:c>
      <x:c r="K37" s="28" t="s">
        <x:v>255</x:v>
      </x:c>
      <x:c r="L37" s="34" t="s">
        <x:v>256</x:v>
      </x:c>
      <x:c r="M37" s="34" t="s">
        <x:v>739</x:v>
      </x:c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25.5" customHeight="1">
      <x:c r="A38" s="33" t="s">
        <x:v>740</x:v>
      </x:c>
      <x:c r="B38" s="33" t="s">
        <x:v>741</x:v>
      </x:c>
      <x:c r="C38" s="34" t="s">
        <x:v>527</x:v>
      </x:c>
      <x:c r="D38" s="34" t="str">
        <x:f>IFERROR(IF('IP Input Sheet'!D14&lt;&gt;"",'IP Input Sheet'!D14,IF('IP Input Sheet'!E14&lt;&gt;"",'IP Input Sheet'!E14,'IP Input Sheet'!F14)),"[Enter IP]")</x:f>
        <x:v>10.3.118.0/24</x:v>
      </x:c>
      <x:c r="E38" s="34" t="s">
        <x:v>511</x:v>
      </x:c>
      <x:c r="F38" s="34" t="str">
        <x:f>IFERROR(IF('IP Input Sheet'!D15&lt;&gt;"",'IP Input Sheet'!D15,IF('IP Input Sheet'!E15&lt;&gt;"",'IP Input Sheet'!E15,'IP Input Sheet'!F15)),"[Enter IP]")</x:f>
        <x:v>10.3.118.0/24</x:v>
      </x:c>
      <x:c r="G38" s="34" t="s">
        <x:v>517</x:v>
      </x:c>
      <x:c r="H38" s="34" t="s">
        <x:v>252</x:v>
      </x:c>
      <x:c r="I38" s="34" t="s">
        <x:v>742</x:v>
      </x:c>
      <x:c r="J38" s="24" t="s">
        <x:v>254</x:v>
      </x:c>
      <x:c r="K38" s="28" t="s">
        <x:v>255</x:v>
      </x:c>
      <x:c r="L38" s="34" t="s">
        <x:v>256</x:v>
      </x:c>
      <x:c r="M38" s="34" t="s">
        <x:v>743</x:v>
      </x:c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25.5" customHeight="1">
      <x:c r="A39" s="29" t="s">
        <x:v>509</x:v>
      </x:c>
      <x:c r="B39" s="29" t="s">
        <x:v>744</x:v>
      </x:c>
      <x:c r="C39" s="29" t="s">
        <x:v>511</x:v>
      </x:c>
      <x:c r="D39" s="29" t="str">
        <x:f>IFERROR(IF('IP Input Sheet'!D15&lt;&gt;"",'IP Input Sheet'!D15,IF('IP Input Sheet'!E15&lt;&gt;"",'IP Input Sheet'!E15,'IP Input Sheet'!F15)),"[Enter IP]")</x:f>
        <x:v>10.3.118.0/24</x:v>
      </x:c>
      <x:c r="E39" s="29" t="s">
        <x:v>527</x:v>
      </x:c>
      <x:c r="F39" s="29" t="str">
        <x:f>IFERROR(IF('IP Input Sheet'!D14&lt;&gt;"",'IP Input Sheet'!D14,IF('IP Input Sheet'!E14&lt;&gt;"",'IP Input Sheet'!E14,'IP Input Sheet'!F14)),"[Enter IP]")</x:f>
        <x:v>10.3.118.0/24</x:v>
      </x:c>
      <x:c r="G39" s="29" t="s">
        <x:v>251</x:v>
      </x:c>
      <x:c r="H39" s="29" t="s">
        <x:v>252</x:v>
      </x:c>
      <x:c r="I39" s="29" t="s">
        <x:v>745</x:v>
      </x:c>
      <x:c r="J39" s="24" t="s">
        <x:v>254</x:v>
      </x:c>
      <x:c r="K39" s="28" t="s">
        <x:v>255</x:v>
      </x:c>
      <x:c r="L39" s="29" t="s">
        <x:v>261</x:v>
      </x:c>
      <x:c r="M39" s="29" t="s">
        <x:v>746</x:v>
      </x:c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25.5" customHeight="1">
      <x:c r="A40" s="27" t="s">
        <x:v>736</x:v>
      </x:c>
      <x:c r="B40" s="27" t="s">
        <x:v>747</x:v>
      </x:c>
      <x:c r="C40" s="27" t="s">
        <x:v>527</x:v>
      </x:c>
      <x:c r="D40" s="27" t="str">
        <x:f>IFERROR(IF('IP Input Sheet'!D14&lt;&gt;"",'IP Input Sheet'!D14,IF('IP Input Sheet'!E14&lt;&gt;"",'IP Input Sheet'!E14,'IP Input Sheet'!F14)),"[Enter IP]")</x:f>
        <x:v>10.3.118.0/24</x:v>
      </x:c>
      <x:c r="E40" s="27" t="s">
        <x:v>511</x:v>
      </x:c>
      <x:c r="F40" s="27" t="str">
        <x:f>IFERROR(IF('IP Input Sheet'!D15&lt;&gt;"",'IP Input Sheet'!D15,IF('IP Input Sheet'!E15&lt;&gt;"",'IP Input Sheet'!E15,'IP Input Sheet'!F15)),"[Enter IP]")</x:f>
        <x:v>10.3.118.0/24</x:v>
      </x:c>
      <x:c r="G40" s="27" t="s">
        <x:v>251</x:v>
      </x:c>
      <x:c r="H40" s="27" t="s">
        <x:v>252</x:v>
      </x:c>
      <x:c r="I40" s="27" t="s">
        <x:v>748</x:v>
      </x:c>
      <x:c r="J40" s="24" t="s">
        <x:v>254</x:v>
      </x:c>
      <x:c r="K40" s="28" t="s">
        <x:v>255</x:v>
      </x:c>
      <x:c r="L40" s="27" t="s">
        <x:v>261</x:v>
      </x:c>
      <x:c r="M40" s="27" t="s">
        <x:v>749</x:v>
      </x:c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51.75" customHeight="1">
      <x:c r="A41" s="29" t="s">
        <x:v>515</x:v>
      </x:c>
      <x:c r="B41" s="35" t="s">
        <x:v>750</x:v>
      </x:c>
      <x:c r="C41" s="29" t="s">
        <x:v>511</x:v>
      </x:c>
      <x:c r="D41" s="29" t="str">
        <x:f>IFERROR(IF('IP Input Sheet'!D15&lt;&gt;"",'IP Input Sheet'!D15,IF('IP Input Sheet'!E15&lt;&gt;"",'IP Input Sheet'!E15,'IP Input Sheet'!F15)),"[Enter IP]")</x:f>
        <x:v>10.3.118.0/24</x:v>
      </x:c>
      <x:c r="E41" s="29" t="s">
        <x:v>527</x:v>
      </x:c>
      <x:c r="F41" s="29" t="str">
        <x:f>IFERROR(IF('IP Input Sheet'!D14&lt;&gt;"",'IP Input Sheet'!D14,IF('IP Input Sheet'!E14&lt;&gt;"",'IP Input Sheet'!E14,'IP Input Sheet'!F14)),"[Enter IP]")</x:f>
        <x:v>10.3.118.0/24</x:v>
      </x:c>
      <x:c r="G41" s="29" t="s">
        <x:v>517</x:v>
      </x:c>
      <x:c r="H41" s="29" t="s">
        <x:v>252</x:v>
      </x:c>
      <x:c r="I41" s="29" t="s">
        <x:v>751</x:v>
      </x:c>
      <x:c r="J41" s="24" t="s">
        <x:v>254</x:v>
      </x:c>
      <x:c r="K41" s="28" t="s">
        <x:v>255</x:v>
      </x:c>
      <x:c r="L41" s="29" t="s">
        <x:v>261</x:v>
      </x:c>
      <x:c r="M41" s="29" t="s">
        <x:v>752</x:v>
      </x:c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25.5" customHeight="1">
      <x:c r="A42" s="27" t="s">
        <x:v>740</x:v>
      </x:c>
      <x:c r="B42" s="35" t="s">
        <x:v>753</x:v>
      </x:c>
      <x:c r="C42" s="27" t="s">
        <x:v>527</x:v>
      </x:c>
      <x:c r="D42" s="27" t="str">
        <x:f>IFERROR(IF('IP Input Sheet'!D14&lt;&gt;"",'IP Input Sheet'!D14,IF('IP Input Sheet'!E14&lt;&gt;"",'IP Input Sheet'!E14,'IP Input Sheet'!F14)),"[Enter IP]")</x:f>
        <x:v>10.3.118.0/24</x:v>
      </x:c>
      <x:c r="E42" s="27" t="s">
        <x:v>511</x:v>
      </x:c>
      <x:c r="F42" s="27" t="str">
        <x:f>IFERROR(IF('IP Input Sheet'!D15&lt;&gt;"",'IP Input Sheet'!D15,IF('IP Input Sheet'!E15&lt;&gt;"",'IP Input Sheet'!E15,'IP Input Sheet'!F15)),"[Enter IP]")</x:f>
        <x:v>10.3.118.0/24</x:v>
      </x:c>
      <x:c r="G42" s="27" t="s">
        <x:v>517</x:v>
      </x:c>
      <x:c r="H42" s="27" t="s">
        <x:v>252</x:v>
      </x:c>
      <x:c r="I42" s="27" t="s">
        <x:v>754</x:v>
      </x:c>
      <x:c r="J42" s="24" t="s">
        <x:v>254</x:v>
      </x:c>
      <x:c r="K42" s="28" t="s">
        <x:v>255</x:v>
      </x:c>
      <x:c r="L42" s="27" t="s">
        <x:v>261</x:v>
      </x:c>
      <x:c r="M42" s="27" t="s">
        <x:v>755</x:v>
      </x:c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39" customHeight="1">
      <x:c r="A43" s="29" t="s">
        <x:v>520</x:v>
      </x:c>
      <x:c r="B43" s="29" t="s">
        <x:v>756</x:v>
      </x:c>
      <x:c r="C43" s="29" t="s">
        <x:v>531</x:v>
      </x:c>
      <x:c r="D43" s="29" t="str">
        <x:f>IFERROR(IF('IP Input Sheet'!D22&lt;&gt;"",'IP Input Sheet'!D22,IF('IP Input Sheet'!E22&lt;&gt;"",'IP Input Sheet'!E22,'IP Input Sheet'!F22)),"[Enter IP]")</x:f>
        <x:v>10.3.111.101</x:v>
      </x:c>
      <x:c r="E43" s="29" t="s">
        <x:v>532</x:v>
      </x:c>
      <x:c r="F43" s="29" t="str">
        <x:f>IFERROR(IF('IP Input Sheet'!D26&lt;&gt;"",'IP Input Sheet'!D26,IF('IP Input Sheet'!E26&lt;&gt;"",'IP Input Sheet'!E26,'IP Input Sheet'!F26)),"[Enter IP]")</x:f>
        <x:v>10.3.111.133</x:v>
      </x:c>
      <x:c r="G43" s="29" t="s">
        <x:v>417</x:v>
      </x:c>
      <x:c r="H43" s="29" t="s">
        <x:v>252</x:v>
      </x:c>
      <x:c r="I43" s="29" t="s">
        <x:v>757</x:v>
      </x:c>
      <x:c r="J43" s="24" t="s">
        <x:v>254</x:v>
      </x:c>
      <x:c r="K43" s="28" t="s">
        <x:v>255</x:v>
      </x:c>
      <x:c r="L43" s="29" t="s">
        <x:v>261</x:v>
      </x:c>
      <x:c r="M43" s="29" t="s">
        <x:v>758</x:v>
      </x:c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39" customHeight="1">
      <x:c r="A44" s="27" t="s">
        <x:v>759</x:v>
      </x:c>
      <x:c r="B44" s="27" t="s">
        <x:v>760</x:v>
      </x:c>
      <x:c r="C44" s="27" t="s">
        <x:v>761</x:v>
      </x:c>
      <x:c r="D44" s="27" t="str">
        <x:f>IFERROR(IF('IP Input Sheet'!D31&lt;&gt;"",'IP Input Sheet'!D31,IF('IP Input Sheet'!E31&lt;&gt;"",'IP Input Sheet'!E31,'IP Input Sheet'!F31)),"[Enter IP]")</x:f>
        <x:v>10.5.22.0/24</x:v>
      </x:c>
      <x:c r="E44" s="27" t="s">
        <x:v>762</x:v>
      </x:c>
      <x:c r="F44" s="27" t="str">
        <x:f>IFERROR(IF('IP Input Sheet'!D31&lt;&gt;"",'IP Input Sheet'!D31,IF('IP Input Sheet'!E31&lt;&gt;"",'IP Input Sheet'!E31,'IP Input Sheet'!F31)),"[Enter IP]")</x:f>
        <x:v>10.5.22.0/24</x:v>
      </x:c>
      <x:c r="G44" s="27" t="s">
        <x:v>455</x:v>
      </x:c>
      <x:c r="H44" s="27" t="s">
        <x:v>278</x:v>
      </x:c>
      <x:c r="I44" s="27" t="s">
        <x:v>763</x:v>
      </x:c>
      <x:c r="J44" s="24" t="s">
        <x:v>254</x:v>
      </x:c>
      <x:c r="K44" s="28" t="s">
        <x:v>255</x:v>
      </x:c>
      <x:c r="L44" s="27" t="s">
        <x:v>261</x:v>
      </x:c>
      <x:c r="M44" s="27" t="s">
        <x:v>764</x:v>
      </x:c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29" t="s">
        <x:v>765</x:v>
      </x:c>
      <x:c r="B45" s="35" t="s">
        <x:v>766</x:v>
      </x:c>
      <x:c r="C45" s="29" t="s">
        <x:v>544</x:v>
      </x:c>
      <x:c r="D45" s="29" t="str">
        <x:f>IFERROR(IF('IP Input Sheet'!D13&lt;&gt;"",'IP Input Sheet'!D13,IF('IP Input Sheet'!E13&lt;&gt;"",'IP Input Sheet'!E13,'IP Input Sheet'!F13)),"[Enter IP]")</x:f>
        <x:v>10.3.118.18</x:v>
      </x:c>
      <x:c r="E45" s="29" t="s">
        <x:v>10</x:v>
      </x:c>
      <x:c r="F45" s="29" t="str">
        <x:f>IFERROR(IF('IP Input Sheet'!D5&lt;&gt;"",'IP Input Sheet'!D5,IF('IP Input Sheet'!E5&lt;&gt;"",'IP Input Sheet'!E5,'IP Input Sheet'!F5)),"[Enter IP]")</x:f>
        <x:v>10.5.25.86</x:v>
      </x:c>
      <x:c r="G45" s="29" t="s">
        <x:v>545</x:v>
      </x:c>
      <x:c r="H45" s="29" t="s">
        <x:v>252</x:v>
      </x:c>
      <x:c r="I45" s="29" t="s">
        <x:v>767</x:v>
      </x:c>
      <x:c r="J45" s="24" t="s">
        <x:v>254</x:v>
      </x:c>
      <x:c r="K45" s="28" t="s">
        <x:v>255</x:v>
      </x:c>
      <x:c r="L45" s="29" t="s">
        <x:v>261</x:v>
      </x:c>
      <x:c r="M45" s="29" t="s">
        <x:v>768</x:v>
      </x:c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27" t="s">
        <x:v>769</x:v>
      </x:c>
      <x:c r="B46" s="35" t="s">
        <x:v>770</x:v>
      </x:c>
      <x:c r="C46" s="27" t="s">
        <x:v>47</x:v>
      </x:c>
      <x:c r="D46" s="27" t="str">
        <x:f>IFERROR(IF('IP Input Sheet'!D16&lt;&gt;"",'IP Input Sheet'!D16,IF('IP Input Sheet'!E16&lt;&gt;"",'IP Input Sheet'!E16,'IP Input Sheet'!F16)),"[Enter IP]")</x:f>
        <x:v>10.3.118.30</x:v>
      </x:c>
      <x:c r="E46" s="27" t="s">
        <x:v>771</x:v>
      </x:c>
      <x:c r="F46" s="27" t="str">
        <x:f>IFERROR(IF('IP Input Sheet'!D13&lt;&gt;"",'IP Input Sheet'!D13,IF('IP Input Sheet'!E13&lt;&gt;"",'IP Input Sheet'!E13,'IP Input Sheet'!F13)),"[Enter IP]")</x:f>
        <x:v>10.3.118.18</x:v>
      </x:c>
      <x:c r="G46" s="27" t="s">
        <x:v>545</x:v>
      </x:c>
      <x:c r="H46" s="27" t="s">
        <x:v>252</x:v>
      </x:c>
      <x:c r="I46" s="27" t="s">
        <x:v>772</x:v>
      </x:c>
      <x:c r="J46" s="24" t="s">
        <x:v>254</x:v>
      </x:c>
      <x:c r="K46" s="28" t="s">
        <x:v>255</x:v>
      </x:c>
      <x:c r="L46" s="27" t="s">
        <x:v>256</x:v>
      </x:c>
      <x:c r="M46" s="27" t="s">
        <x:v>773</x:v>
      </x:c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29" t="s">
        <x:v>774</x:v>
      </x:c>
      <x:c r="B47" s="35" t="s">
        <x:v>775</x:v>
      </x:c>
      <x:c r="C47" s="29" t="s">
        <x:v>592</x:v>
      </x:c>
      <x:c r="D47" s="29" t="str">
        <x:f>IFERROR(IF('IP Input Sheet'!D18&lt;&gt;"",'IP Input Sheet'!D18,IF('IP Input Sheet'!E18&lt;&gt;"",'IP Input Sheet'!E18,'IP Input Sheet'!F18)),"[Enter IP]")</x:f>
        <x:v>10.3.118.0/24</x:v>
      </x:c>
      <x:c r="E47" s="29" t="s">
        <x:v>544</x:v>
      </x:c>
      <x:c r="F47" s="29" t="str">
        <x:f>IFERROR(IF('IP Input Sheet'!D13&lt;&gt;"",'IP Input Sheet'!D13,IF('IP Input Sheet'!E13&lt;&gt;"",'IP Input Sheet'!E13,'IP Input Sheet'!F13)),"[Enter IP]")</x:f>
        <x:v>10.3.118.18</x:v>
      </x:c>
      <x:c r="G47" s="29" t="s">
        <x:v>545</x:v>
      </x:c>
      <x:c r="H47" s="29" t="s">
        <x:v>252</x:v>
      </x:c>
      <x:c r="I47" s="29" t="s">
        <x:v>776</x:v>
      </x:c>
      <x:c r="J47" s="24" t="s">
        <x:v>254</x:v>
      </x:c>
      <x:c r="K47" s="28" t="s">
        <x:v>255</x:v>
      </x:c>
      <x:c r="L47" s="29" t="s">
        <x:v>256</x:v>
      </x:c>
      <x:c r="M47" s="29" t="s">
        <x:v>777</x:v>
      </x:c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27" t="s">
        <x:v>778</x:v>
      </x:c>
      <x:c r="B48" s="35" t="s">
        <x:v>779</x:v>
      </x:c>
      <x:c r="C48" s="27" t="s">
        <x:v>780</x:v>
      </x:c>
      <x:c r="D48" s="27" t="str">
        <x:f>IFERROR(IF('IP Input Sheet'!D13&lt;&gt;"",'IP Input Sheet'!D13,IF('IP Input Sheet'!E13&lt;&gt;"",'IP Input Sheet'!E13,'IP Input Sheet'!F13)),"[Enter IP]")</x:f>
        <x:v>10.3.118.18</x:v>
      </x:c>
      <x:c r="E48" s="27" t="s">
        <x:v>781</x:v>
      </x:c>
      <x:c r="F48" s="27" t="str">
        <x:f>IFERROR(IF('IP Input Sheet'!D20&lt;&gt;"",'IP Input Sheet'!D20,IF('IP Input Sheet'!E20&lt;&gt;"",'IP Input Sheet'!E20,'IP Input Sheet'!F20)),"[Enter IP]")</x:f>
        <x:v>192.168.188.1</x:v>
      </x:c>
      <x:c r="G48" s="27" t="s">
        <x:v>567</x:v>
      </x:c>
      <x:c r="H48" s="27" t="s">
        <x:v>252</x:v>
      </x:c>
      <x:c r="I48" s="27" t="s">
        <x:v>782</x:v>
      </x:c>
      <x:c r="J48" s="24" t="s">
        <x:v>254</x:v>
      </x:c>
      <x:c r="K48" s="28" t="s">
        <x:v>255</x:v>
      </x:c>
      <x:c r="L48" s="27" t="s">
        <x:v>261</x:v>
      </x:c>
      <x:c r="M48" s="27" t="s">
        <x:v>783</x:v>
      </x:c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29" t="s">
        <x:v>784</x:v>
      </x:c>
      <x:c r="B49" s="35" t="s">
        <x:v>785</x:v>
      </x:c>
      <x:c r="C49" s="29" t="s">
        <x:v>786</x:v>
      </x:c>
      <x:c r="D49" s="29" t="str">
        <x:f>IFERROR(IF('IP Input Sheet'!D20&lt;&gt;"",'IP Input Sheet'!D20,IF('IP Input Sheet'!E20&lt;&gt;"",'IP Input Sheet'!E20,'IP Input Sheet'!F20)),"[Enter IP]")</x:f>
        <x:v>192.168.188.1</x:v>
      </x:c>
      <x:c r="E49" s="29" t="s">
        <x:v>787</x:v>
      </x:c>
      <x:c r="F49" s="29" t="s">
        <x:v>788</x:v>
      </x:c>
      <x:c r="G49" s="29" t="s">
        <x:v>567</x:v>
      </x:c>
      <x:c r="H49" s="29" t="s">
        <x:v>252</x:v>
      </x:c>
      <x:c r="I49" s="29" t="s">
        <x:v>789</x:v>
      </x:c>
      <x:c r="J49" s="24" t="s">
        <x:v>254</x:v>
      </x:c>
      <x:c r="K49" s="28" t="s">
        <x:v>255</x:v>
      </x:c>
      <x:c r="L49" s="29" t="s">
        <x:v>256</x:v>
      </x:c>
      <x:c r="M49" s="29" t="s">
        <x:v>790</x:v>
      </x:c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27" t="s">
        <x:v>509</x:v>
      </x:c>
      <x:c r="B50" s="27" t="s">
        <x:v>791</x:v>
      </x:c>
      <x:c r="C50" s="27" t="s">
        <x:v>511</x:v>
      </x:c>
      <x:c r="D50" s="27" t="str">
        <x:f>IFERROR(IF('IP Input Sheet'!D15&lt;&gt;"",'IP Input Sheet'!D15,IF('IP Input Sheet'!E15&lt;&gt;"",'IP Input Sheet'!E15,'IP Input Sheet'!F15)),"[Enter IP]")</x:f>
        <x:v>10.3.118.0/24</x:v>
      </x:c>
      <x:c r="E50" s="27" t="s">
        <x:v>527</x:v>
      </x:c>
      <x:c r="F50" s="27" t="str">
        <x:f>IFERROR(IF('IP Input Sheet'!D14&lt;&gt;"",'IP Input Sheet'!D14,IF('IP Input Sheet'!E14&lt;&gt;"",'IP Input Sheet'!E14,'IP Input Sheet'!F14)),"[Enter IP]")</x:f>
        <x:v>10.3.118.0/24</x:v>
      </x:c>
      <x:c r="G50" s="27" t="s">
        <x:v>251</x:v>
      </x:c>
      <x:c r="H50" s="27" t="s">
        <x:v>252</x:v>
      </x:c>
      <x:c r="I50" s="27" t="s">
        <x:v>792</x:v>
      </x:c>
      <x:c r="J50" s="24" t="s">
        <x:v>254</x:v>
      </x:c>
      <x:c r="K50" s="28" t="s">
        <x:v>255</x:v>
      </x:c>
      <x:c r="L50" s="27" t="s">
        <x:v>261</x:v>
      </x:c>
      <x:c r="M50" s="27" t="s">
        <x:v>793</x:v>
      </x:c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29" t="s">
        <x:v>736</x:v>
      </x:c>
      <x:c r="B51" s="35" t="s">
        <x:v>794</x:v>
      </x:c>
      <x:c r="C51" s="29" t="s">
        <x:v>511</x:v>
      </x:c>
      <x:c r="D51" s="29" t="str">
        <x:f>IFERROR(IF('IP Input Sheet'!D15&lt;&gt;"",'IP Input Sheet'!D15,IF('IP Input Sheet'!E15&lt;&gt;"",'IP Input Sheet'!E15,'IP Input Sheet'!F15)),"[Enter IP]")</x:f>
        <x:v>10.3.118.0/24</x:v>
      </x:c>
      <x:c r="E51" s="29" t="s">
        <x:v>527</x:v>
      </x:c>
      <x:c r="F51" s="29" t="str">
        <x:f>IFERROR(IF('IP Input Sheet'!D14&lt;&gt;"",'IP Input Sheet'!D14,IF('IP Input Sheet'!E14&lt;&gt;"",'IP Input Sheet'!E14,'IP Input Sheet'!F14)),"[Enter IP]")</x:f>
        <x:v>10.3.118.0/24</x:v>
      </x:c>
      <x:c r="G51" s="29" t="s">
        <x:v>517</x:v>
      </x:c>
      <x:c r="H51" s="29" t="s">
        <x:v>252</x:v>
      </x:c>
      <x:c r="I51" s="29" t="s">
        <x:v>795</x:v>
      </x:c>
      <x:c r="J51" s="24" t="s">
        <x:v>254</x:v>
      </x:c>
      <x:c r="K51" s="28" t="s">
        <x:v>255</x:v>
      </x:c>
      <x:c r="L51" s="29" t="s">
        <x:v>261</x:v>
      </x:c>
      <x:c r="M51" s="29" t="s">
        <x:v>796</x:v>
      </x:c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27" t="s">
        <x:v>515</x:v>
      </x:c>
      <x:c r="B52" s="27" t="s">
        <x:v>797</x:v>
      </x:c>
      <x:c r="C52" s="27" t="s">
        <x:v>798</x:v>
      </x:c>
      <x:c r="D52" s="27" t="str">
        <x:f>IFERROR(IF('IP Input Sheet'!D22&lt;&gt;"",'IP Input Sheet'!D22,IF('IP Input Sheet'!E22&lt;&gt;"",'IP Input Sheet'!E22,'IP Input Sheet'!F22)),"[Enter IP]")</x:f>
        <x:v>10.3.111.101</x:v>
      </x:c>
      <x:c r="E52" s="27" t="s">
        <x:v>799</x:v>
      </x:c>
      <x:c r="F52" s="27" t="str">
        <x:f>IFERROR(IF('IP Input Sheet'!D26&lt;&gt;"",'IP Input Sheet'!D26,IF('IP Input Sheet'!E26&lt;&gt;"",'IP Input Sheet'!E26,'IP Input Sheet'!F26)),"[Enter IP]")</x:f>
        <x:v>10.3.111.133</x:v>
      </x:c>
      <x:c r="G52" s="27" t="s">
        <x:v>417</x:v>
      </x:c>
      <x:c r="H52" s="27" t="s">
        <x:v>252</x:v>
      </x:c>
      <x:c r="I52" s="27" t="s">
        <x:v>800</x:v>
      </x:c>
      <x:c r="J52" s="24" t="s">
        <x:v>254</x:v>
      </x:c>
      <x:c r="K52" s="28" t="s">
        <x:v>255</x:v>
      </x:c>
      <x:c r="L52" s="27" t="s">
        <x:v>261</x:v>
      </x:c>
      <x:c r="M52" s="27" t="s">
        <x:v>801</x:v>
      </x:c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29" t="s">
        <x:v>740</x:v>
      </x:c>
      <x:c r="B53" s="29" t="s">
        <x:v>802</x:v>
      </x:c>
      <x:c r="C53" s="29" t="s">
        <x:v>803</x:v>
      </x:c>
      <x:c r="D53" s="29" t="str">
        <x:f>IFERROR(IF('IP Input Sheet'!D31&lt;&gt;"",'IP Input Sheet'!D31,IF('IP Input Sheet'!E31&lt;&gt;"",'IP Input Sheet'!E31,'IP Input Sheet'!F31)),"[Enter IP]")</x:f>
        <x:v>10.5.22.0/24</x:v>
      </x:c>
      <x:c r="E53" s="29" t="s">
        <x:v>804</x:v>
      </x:c>
      <x:c r="F53" s="29" t="str">
        <x:f>IFERROR(IF('IP Input Sheet'!D31&lt;&gt;"",'IP Input Sheet'!D31,IF('IP Input Sheet'!E31&lt;&gt;"",'IP Input Sheet'!E31,'IP Input Sheet'!F31)),"[Enter IP]")</x:f>
        <x:v>10.5.22.0/24</x:v>
      </x:c>
      <x:c r="G53" s="29" t="s">
        <x:v>455</x:v>
      </x:c>
      <x:c r="H53" s="29" t="s">
        <x:v>278</x:v>
      </x:c>
      <x:c r="I53" s="29" t="s">
        <x:v>805</x:v>
      </x:c>
      <x:c r="J53" s="24" t="s">
        <x:v>254</x:v>
      </x:c>
      <x:c r="K53" s="28" t="s">
        <x:v>255</x:v>
      </x:c>
      <x:c r="L53" s="29" t="s">
        <x:v>261</x:v>
      </x:c>
      <x:c r="M53" s="29" t="s">
        <x:v>806</x:v>
      </x:c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5.7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5" customHeight="1">
      <x:c r="A55" s="13"/>
      <x:c r="B55" s="13" t="s">
        <x:v>807</x:v>
      </x:c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5" customHeight="1">
      <x:c r="A56" s="23" t="s">
        <x:v>808</x:v>
      </x:c>
      <x:c r="B56" s="23" t="s">
        <x:v>809</x:v>
      </x:c>
      <x:c r="C56" s="23" t="s">
        <x:v>36</x:v>
      </x:c>
      <x:c r="D56" s="23" t="str">
        <x:f>IFERROR(IF('IP Input Sheet'!D13&lt;&gt;"",'IP Input Sheet'!D13,IF('IP Input Sheet'!E13&lt;&gt;"",'IP Input Sheet'!E13,'IP Input Sheet'!F13)),"[Enter IP]")</x:f>
        <x:v>10.3.118.18</x:v>
      </x:c>
      <x:c r="E56" s="23" t="s">
        <x:v>581</x:v>
      </x:c>
      <x:c r="F56" s="23" t="str">
        <x:f>IFERROR(IF('IP Input Sheet'!D20&lt;&gt;"",'IP Input Sheet'!D20,IF('IP Input Sheet'!E20&lt;&gt;"",'IP Input Sheet'!E20,'IP Input Sheet'!F20)),"[Enter IP]")</x:f>
        <x:v>192.168.188.1</x:v>
      </x:c>
      <x:c r="G56" s="23" t="s">
        <x:v>251</x:v>
      </x:c>
      <x:c r="H56" s="23" t="s">
        <x:v>252</x:v>
      </x:c>
      <x:c r="I56" s="23" t="s">
        <x:v>810</x:v>
      </x:c>
      <x:c r="J56" s="24" t="s">
        <x:v>254</x:v>
      </x:c>
      <x:c r="K56" s="25" t="s">
        <x:v>255</x:v>
      </x:c>
      <x:c r="L56" s="23" t="s">
        <x:v>256</x:v>
      </x:c>
      <x:c r="M56" s="23" t="s">
        <x:v>811</x:v>
      </x:c>
      <x:c r="N56" s="13" t="s">
        <x:v>812</x:v>
      </x:c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5" customHeight="1">
      <x:c r="A57" s="23" t="s">
        <x:v>813</x:v>
      </x:c>
      <x:c r="B57" s="23" t="s">
        <x:v>814</x:v>
      </x:c>
      <x:c r="C57" s="23" t="s">
        <x:v>36</x:v>
      </x:c>
      <x:c r="D57" s="23" t="str">
        <x:f>IFERROR(IF('IP Input Sheet'!D13&lt;&gt;"",'IP Input Sheet'!D13,IF('IP Input Sheet'!E13&lt;&gt;"",'IP Input Sheet'!E13,'IP Input Sheet'!F13)),"[Enter IP]")</x:f>
        <x:v>10.3.118.18</x:v>
      </x:c>
      <x:c r="E57" s="23" t="s">
        <x:v>581</x:v>
      </x:c>
      <x:c r="F57" s="23" t="str">
        <x:f>IFERROR(IF('IP Input Sheet'!D20&lt;&gt;"",'IP Input Sheet'!D20,IF('IP Input Sheet'!E20&lt;&gt;"",'IP Input Sheet'!E20,'IP Input Sheet'!F20)),"[Enter IP]")</x:f>
        <x:v>192.168.188.1</x:v>
      </x:c>
      <x:c r="G57" s="23" t="s">
        <x:v>545</x:v>
      </x:c>
      <x:c r="H57" s="23" t="s">
        <x:v>252</x:v>
      </x:c>
      <x:c r="I57" s="23" t="s">
        <x:v>815</x:v>
      </x:c>
      <x:c r="J57" s="24" t="s">
        <x:v>254</x:v>
      </x:c>
      <x:c r="K57" s="25" t="s">
        <x:v>255</x:v>
      </x:c>
      <x:c r="L57" s="23" t="s">
        <x:v>256</x:v>
      </x:c>
      <x:c r="M57" s="23" t="s">
        <x:v>816</x:v>
      </x:c>
      <x:c r="N57" s="13" t="s">
        <x:v>816</x:v>
      </x:c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5" customHeight="1">
      <x:c r="A58" s="23" t="s">
        <x:v>817</x:v>
      </x:c>
      <x:c r="B58" s="23" t="s">
        <x:v>818</x:v>
      </x:c>
      <x:c r="C58" s="23" t="s">
        <x:v>592</x:v>
      </x:c>
      <x:c r="D58" s="23" t="str">
        <x:f>IFERROR(IF('IP Input Sheet'!D18&lt;&gt;"",'IP Input Sheet'!D18,IF('IP Input Sheet'!E18&lt;&gt;"",'IP Input Sheet'!E18,'IP Input Sheet'!F18)),"[Enter IP]")</x:f>
        <x:v>10.3.118.0/24</x:v>
      </x:c>
      <x:c r="E58" s="23" t="s">
        <x:v>581</x:v>
      </x:c>
      <x:c r="F58" s="23" t="str">
        <x:f>IFERROR(IF('IP Input Sheet'!D20&lt;&gt;"",'IP Input Sheet'!D20,IF('IP Input Sheet'!E20&lt;&gt;"",'IP Input Sheet'!E20,'IP Input Sheet'!F20)),"[Enter IP]")</x:f>
        <x:v>192.168.188.1</x:v>
      </x:c>
      <x:c r="G58" s="23" t="s">
        <x:v>354</x:v>
      </x:c>
      <x:c r="H58" s="23" t="s">
        <x:v>272</x:v>
      </x:c>
      <x:c r="I58" s="23" t="s">
        <x:v>819</x:v>
      </x:c>
      <x:c r="J58" s="24" t="s">
        <x:v>254</x:v>
      </x:c>
      <x:c r="K58" s="25" t="s">
        <x:v>255</x:v>
      </x:c>
      <x:c r="L58" s="23" t="s">
        <x:v>261</x:v>
      </x:c>
      <x:c r="M58" s="23" t="s">
        <x:v>820</x:v>
      </x:c>
      <x:c r="N58" s="13" t="s">
        <x:v>821</x:v>
      </x:c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5.75" customHeight="1">
      <x:c r="A59" s="23" t="s">
        <x:v>822</x:v>
      </x:c>
      <x:c r="B59" s="23" t="s">
        <x:v>823</x:v>
      </x:c>
      <x:c r="C59" s="23" t="s">
        <x:v>592</x:v>
      </x:c>
      <x:c r="D59" s="23" t="str">
        <x:f>IFERROR(IF('IP Input Sheet'!D18&lt;&gt;"",'IP Input Sheet'!D18,IF('IP Input Sheet'!E18&lt;&gt;"",'IP Input Sheet'!E18,'IP Input Sheet'!F18)),"[Enter IP]")</x:f>
        <x:v>10.3.118.0/24</x:v>
      </x:c>
      <x:c r="E59" s="23" t="s">
        <x:v>581</x:v>
      </x:c>
      <x:c r="F59" s="23" t="str">
        <x:f>IFERROR(IF('IP Input Sheet'!D20&lt;&gt;"",'IP Input Sheet'!D20,IF('IP Input Sheet'!E20&lt;&gt;"",'IP Input Sheet'!E20,'IP Input Sheet'!F20)),"[Enter IP]")</x:f>
        <x:v>192.168.188.1</x:v>
      </x:c>
      <x:c r="G59" s="23" t="s">
        <x:v>598</x:v>
      </x:c>
      <x:c r="H59" s="23" t="s">
        <x:v>252</x:v>
      </x:c>
      <x:c r="I59" s="23" t="s">
        <x:v>824</x:v>
      </x:c>
      <x:c r="J59" s="24" t="s">
        <x:v>254</x:v>
      </x:c>
      <x:c r="K59" s="25" t="s">
        <x:v>255</x:v>
      </x:c>
      <x:c r="L59" s="23" t="s">
        <x:v>256</x:v>
      </x:c>
      <x:c r="M59" s="23" t="s">
        <x:v>821</x:v>
      </x:c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13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13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13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13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13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13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13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13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13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13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13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13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13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13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13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M1"/>
    <x:mergeCell ref="A2:M2"/>
    <x:mergeCell ref="A36:M3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9900"/>
  </x:sheetPr>
  <x:sheetFormatPr defaultColWidth="14.430000305175781" defaultRowHeight="15"/>
  <x:cols>
    <x:col min="1" max="1" width="7" customWidth="1"/>
    <x:col min="2" max="2" width="32" customWidth="1"/>
    <x:col min="3" max="3" width="28" customWidth="1"/>
    <x:col min="4" max="4" width="24" customWidth="1"/>
    <x:col min="5" max="5" width="28" customWidth="1"/>
    <x:col min="6" max="6" width="24" customWidth="1"/>
    <x:col min="7" max="7" width="14" customWidth="1"/>
    <x:col min="8" max="8" width="10" customWidth="1"/>
    <x:col min="9" max="9" width="34" customWidth="1"/>
    <x:col min="10" max="10" width="8" customWidth="1"/>
    <x:col min="11" max="12" width="14" customWidth="1"/>
    <x:col min="13" max="13" width="42" customWidth="1"/>
  </x:cols>
  <x:sheetData>
    <x:row r="1" ht="27.75" customHeight="1">
      <x:c r="A1" s="22" t="s">
        <x:v>825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5" t="s">
        <x:v>826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3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7.75" customHeight="1">
      <x:c r="A3" s="6" t="s">
        <x:v>2</x:v>
      </x:c>
      <x:c r="B3" s="6" t="s">
        <x:v>237</x:v>
      </x:c>
      <x:c r="C3" s="6" t="s">
        <x:v>238</x:v>
      </x:c>
      <x:c r="D3" s="6" t="s">
        <x:v>239</x:v>
      </x:c>
      <x:c r="E3" s="6" t="s">
        <x:v>240</x:v>
      </x:c>
      <x:c r="F3" s="6" t="s">
        <x:v>241</x:v>
      </x:c>
      <x:c r="G3" s="6" t="s">
        <x:v>242</x:v>
      </x:c>
      <x:c r="H3" s="6" t="s">
        <x:v>243</x:v>
      </x:c>
      <x:c r="I3" s="6" t="s">
        <x:v>244</x:v>
      </x:c>
      <x:c r="J3" s="6" t="s">
        <x:v>245</x:v>
      </x:c>
      <x:c r="K3" s="6" t="s">
        <x:v>246</x:v>
      </x:c>
      <x:c r="L3" s="6" t="s">
        <x:v>247</x:v>
      </x:c>
      <x:c r="M3" s="6" t="s">
        <x:v>248</x:v>
      </x:c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23" t="s">
        <x:v>827</x:v>
      </x:c>
      <x:c r="B4" s="23" t="s">
        <x:v>270</x:v>
      </x:c>
      <x:c r="C4" s="23" t="s">
        <x:v>10</x:v>
      </x:c>
      <x:c r="D4" s="23" t="str">
        <x:f>IFERROR(IF('IP Input Sheet'!D5&lt;&gt;"",'IP Input Sheet'!D5,IF('IP Input Sheet'!E5&lt;&gt;"",'IP Input Sheet'!E5,'IP Input Sheet'!F5)),"[Enter IP]")</x:f>
        <x:v>10.5.25.86</x:v>
      </x:c>
      <x:c r="E4" s="23" t="s">
        <x:v>203</x:v>
      </x:c>
      <x:c r="F4" s="23" t="n">
        <x:f>'IP Input Sheet'!D60</x:f>
        <x:v>0</x:v>
      </x:c>
      <x:c r="G4" s="23" t="s">
        <x:v>271</x:v>
      </x:c>
      <x:c r="H4" s="23" t="s">
        <x:v>272</x:v>
      </x:c>
      <x:c r="I4" s="23" t="s">
        <x:v>273</x:v>
      </x:c>
      <x:c r="J4" s="24" t="s">
        <x:v>254</x:v>
      </x:c>
      <x:c r="K4" s="25" t="s">
        <x:v>255</x:v>
      </x:c>
      <x:c r="L4" s="23" t="s">
        <x:v>261</x:v>
      </x:c>
      <x:c r="M4" s="23" t="s">
        <x:v>274</x:v>
      </x:c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26" t="s">
        <x:v>828</x:v>
      </x:c>
      <x:c r="B5" s="26" t="s">
        <x:v>276</x:v>
      </x:c>
      <x:c r="C5" s="26" t="s">
        <x:v>10</x:v>
      </x:c>
      <x:c r="D5" s="26" t="str">
        <x:f>IFERROR(IF('IP Input Sheet'!D5&lt;&gt;"",'IP Input Sheet'!D5,IF('IP Input Sheet'!E5&lt;&gt;"",'IP Input Sheet'!E5,'IP Input Sheet'!F5)),"[Enter IP]")</x:f>
        <x:v>10.5.25.86</x:v>
      </x:c>
      <x:c r="E5" s="26" t="s">
        <x:v>207</x:v>
      </x:c>
      <x:c r="F5" s="26" t="n">
        <x:f>'IP Input Sheet'!D61</x:f>
        <x:v>0</x:v>
      </x:c>
      <x:c r="G5" s="26" t="s">
        <x:v>277</x:v>
      </x:c>
      <x:c r="H5" s="26" t="s">
        <x:v>278</x:v>
      </x:c>
      <x:c r="I5" s="26" t="s">
        <x:v>618</x:v>
      </x:c>
      <x:c r="J5" s="24" t="s">
        <x:v>254</x:v>
      </x:c>
      <x:c r="K5" s="25" t="s">
        <x:v>255</x:v>
      </x:c>
      <x:c r="L5" s="26" t="s">
        <x:v>256</x:v>
      </x:c>
      <x:c r="M5" s="26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23" t="s">
        <x:v>829</x:v>
      </x:c>
      <x:c r="B6" s="23" t="s">
        <x:v>830</x:v>
      </x:c>
      <x:c r="C6" s="23" t="s">
        <x:v>14</x:v>
      </x:c>
      <x:c r="D6" s="23" t="str">
        <x:f>IFERROR(IF('IP Input Sheet'!D6&lt;&gt;"",'IP Input Sheet'!D6,IF('IP Input Sheet'!E6&lt;&gt;"",'IP Input Sheet'!E6,'IP Input Sheet'!F6)),"[Enter IP]")</x:f>
        <x:v>10.5.25.64/26</x:v>
      </x:c>
      <x:c r="E6" s="23" t="s">
        <x:v>203</x:v>
      </x:c>
      <x:c r="F6" s="23" t="n">
        <x:f>'IP Input Sheet'!D60</x:f>
        <x:v>0</x:v>
      </x:c>
      <x:c r="G6" s="23" t="s">
        <x:v>271</x:v>
      </x:c>
      <x:c r="H6" s="23" t="s">
        <x:v>272</x:v>
      </x:c>
      <x:c r="I6" s="23" t="s">
        <x:v>831</x:v>
      </x:c>
      <x:c r="J6" s="24" t="s">
        <x:v>254</x:v>
      </x:c>
      <x:c r="K6" s="25" t="s">
        <x:v>255</x:v>
      </x:c>
      <x:c r="L6" s="23" t="s">
        <x:v>256</x:v>
      </x:c>
      <x:c r="M6" s="23" t="s">
        <x:v>832</x:v>
      </x:c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26" t="s">
        <x:v>833</x:v>
      </x:c>
      <x:c r="B7" s="26" t="s">
        <x:v>834</x:v>
      </x:c>
      <x:c r="C7" s="26" t="s">
        <x:v>14</x:v>
      </x:c>
      <x:c r="D7" s="26" t="str">
        <x:f>IFERROR(IF('IP Input Sheet'!D6&lt;&gt;"",'IP Input Sheet'!D6,IF('IP Input Sheet'!E6&lt;&gt;"",'IP Input Sheet'!E6,'IP Input Sheet'!F6)),"[Enter IP]")</x:f>
        <x:v>10.5.25.64/26</x:v>
      </x:c>
      <x:c r="E7" s="26" t="s">
        <x:v>207</x:v>
      </x:c>
      <x:c r="F7" s="26" t="n">
        <x:f>'IP Input Sheet'!D61</x:f>
        <x:v>0</x:v>
      </x:c>
      <x:c r="G7" s="26" t="s">
        <x:v>277</x:v>
      </x:c>
      <x:c r="H7" s="26" t="s">
        <x:v>278</x:v>
      </x:c>
      <x:c r="I7" s="26" t="s">
        <x:v>618</x:v>
      </x:c>
      <x:c r="J7" s="24" t="s">
        <x:v>254</x:v>
      </x:c>
      <x:c r="K7" s="25" t="s">
        <x:v>255</x:v>
      </x:c>
      <x:c r="L7" s="26" t="s">
        <x:v>256</x:v>
      </x:c>
      <x:c r="M7" s="26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23" t="s">
        <x:v>835</x:v>
      </x:c>
      <x:c r="B8" s="23" t="s">
        <x:v>836</x:v>
      </x:c>
      <x:c r="C8" s="23" t="s">
        <x:v>14</x:v>
      </x:c>
      <x:c r="D8" s="23" t="str">
        <x:f>IFERROR(IF('IP Input Sheet'!D6&lt;&gt;"",'IP Input Sheet'!D6,IF('IP Input Sheet'!E6&lt;&gt;"",'IP Input Sheet'!E6,'IP Input Sheet'!F6)),"[Enter IP]")</x:f>
        <x:v>10.5.25.64/26</x:v>
      </x:c>
      <x:c r="E8" s="23" t="s">
        <x:v>322</x:v>
      </x:c>
      <x:c r="F8" s="23"/>
      <x:c r="G8" s="23" t="s">
        <x:v>323</x:v>
      </x:c>
      <x:c r="H8" s="23" t="s">
        <x:v>252</x:v>
      </x:c>
      <x:c r="I8" s="23" t="s">
        <x:v>324</x:v>
      </x:c>
      <x:c r="J8" s="24" t="s">
        <x:v>254</x:v>
      </x:c>
      <x:c r="K8" s="25" t="s">
        <x:v>255</x:v>
      </x:c>
      <x:c r="L8" s="23" t="s">
        <x:v>256</x:v>
      </x:c>
      <x:c r="M8" s="23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26" t="s">
        <x:v>837</x:v>
      </x:c>
      <x:c r="B9" s="26" t="s">
        <x:v>838</x:v>
      </x:c>
      <x:c r="C9" s="26" t="s">
        <x:v>14</x:v>
      </x:c>
      <x:c r="D9" s="26" t="str">
        <x:f>IFERROR(IF('IP Input Sheet'!D6&lt;&gt;"",'IP Input Sheet'!D6,IF('IP Input Sheet'!E6&lt;&gt;"",'IP Input Sheet'!E6,'IP Input Sheet'!F6)),"[Enter IP]")</x:f>
        <x:v>10.5.25.64/26</x:v>
      </x:c>
      <x:c r="E9" s="26" t="s">
        <x:v>322</x:v>
      </x:c>
      <x:c r="F9" s="26"/>
      <x:c r="G9" s="26" t="s">
        <x:v>327</x:v>
      </x:c>
      <x:c r="H9" s="26" t="s">
        <x:v>252</x:v>
      </x:c>
      <x:c r="I9" s="26" t="s">
        <x:v>839</x:v>
      </x:c>
      <x:c r="J9" s="24" t="s">
        <x:v>254</x:v>
      </x:c>
      <x:c r="K9" s="25" t="s">
        <x:v>255</x:v>
      </x:c>
      <x:c r="L9" s="26" t="s">
        <x:v>256</x:v>
      </x:c>
      <x:c r="M9" s="26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23" t="s">
        <x:v>840</x:v>
      </x:c>
      <x:c r="B10" s="23" t="s">
        <x:v>841</x:v>
      </x:c>
      <x:c r="C10" s="23" t="s">
        <x:v>14</x:v>
      </x:c>
      <x:c r="D10" s="23" t="str">
        <x:f>IFERROR(IF('IP Input Sheet'!D6&lt;&gt;"",'IP Input Sheet'!D6,IF('IP Input Sheet'!E6&lt;&gt;"",'IP Input Sheet'!E6,'IP Input Sheet'!F6)),"[Enter IP]")</x:f>
        <x:v>10.5.25.64/26</x:v>
      </x:c>
      <x:c r="E10" s="23" t="s">
        <x:v>322</x:v>
      </x:c>
      <x:c r="F10" s="23"/>
      <x:c r="G10" s="23" t="s">
        <x:v>331</x:v>
      </x:c>
      <x:c r="H10" s="23" t="s">
        <x:v>252</x:v>
      </x:c>
      <x:c r="I10" s="23" t="s">
        <x:v>842</x:v>
      </x:c>
      <x:c r="J10" s="24" t="s">
        <x:v>254</x:v>
      </x:c>
      <x:c r="K10" s="25" t="s">
        <x:v>255</x:v>
      </x:c>
      <x:c r="L10" s="23" t="s">
        <x:v>256</x:v>
      </x:c>
      <x:c r="M10" s="23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26" t="s">
        <x:v>843</x:v>
      </x:c>
      <x:c r="B11" s="26" t="s">
        <x:v>844</x:v>
      </x:c>
      <x:c r="C11" s="26" t="s">
        <x:v>14</x:v>
      </x:c>
      <x:c r="D11" s="26" t="str">
        <x:f>IFERROR(IF('IP Input Sheet'!D6&lt;&gt;"",'IP Input Sheet'!D6,IF('IP Input Sheet'!E6&lt;&gt;"",'IP Input Sheet'!E6,'IP Input Sheet'!F6)),"[Enter IP]")</x:f>
        <x:v>10.5.25.64/26</x:v>
      </x:c>
      <x:c r="E11" s="26" t="s">
        <x:v>335</x:v>
      </x:c>
      <x:c r="F11" s="26" t="str">
        <x:f>IF('IP Input Sheet'!$D$64&lt;&gt;"",'IP Input Sheet'!$D$64,IF('IP Input Sheet'!$E$64&lt;&gt;"",'IP Input Sheet'!$E$64,'IP Input Sheet'!$F$64))</x:f>
        <x:v>N/A — shared</x:v>
      </x:c>
      <x:c r="G11" s="26" t="s">
        <x:v>287</x:v>
      </x:c>
      <x:c r="H11" s="26" t="s">
        <x:v>252</x:v>
      </x:c>
      <x:c r="I11" s="26" t="str">
        <x:v>SFTP Backup – TCP/22</x:v>
      </x:c>
      <x:c r="J11" s="24" t="s">
        <x:v>254</x:v>
      </x:c>
      <x:c r="K11" s="25" t="s">
        <x:v>255</x:v>
      </x:c>
      <x:c r="L11" s="26" t="s">
        <x:v>256</x:v>
      </x:c>
      <x:c r="M11" s="26" t="str">
        <x:v>Normalized SFTP backup entry linked to IP Input Sheet (SFTP_SRV).</x:v>
      </x:c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23" t="s">
        <x:v>845</x:v>
      </x:c>
      <x:c r="B12" s="23" t="s">
        <x:v>846</x:v>
      </x:c>
      <x:c r="C12" s="23" t="s">
        <x:v>27</x:v>
      </x:c>
      <x:c r="D12" s="23" t="str">
        <x:f>IFERROR(IF('IP Input Sheet'!D10&lt;&gt;"",'IP Input Sheet'!D10,IF('IP Input Sheet'!E10&lt;&gt;"",'IP Input Sheet'!E10,'IP Input Sheet'!F10)),"[Enter IP]")</x:f>
        <x:v>10.3.118.0/24</x:v>
      </x:c>
      <x:c r="E12" s="23" t="s">
        <x:v>322</x:v>
      </x:c>
      <x:c r="F12" s="23"/>
      <x:c r="G12" s="23" t="s">
        <x:v>323</x:v>
      </x:c>
      <x:c r="H12" s="23" t="s">
        <x:v>272</x:v>
      </x:c>
      <x:c r="I12" s="23" t="s">
        <x:v>847</x:v>
      </x:c>
      <x:c r="J12" s="24" t="s">
        <x:v>254</x:v>
      </x:c>
      <x:c r="K12" s="25" t="s">
        <x:v>255</x:v>
      </x:c>
      <x:c r="L12" s="23" t="s">
        <x:v>256</x:v>
      </x:c>
      <x:c r="M12" s="23" t="s">
        <x:v>848</x:v>
      </x:c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26" t="s">
        <x:v>849</x:v>
      </x:c>
      <x:c r="B13" s="26" t="s">
        <x:v>850</x:v>
      </x:c>
      <x:c r="C13" s="26" t="s">
        <x:v>27</x:v>
      </x:c>
      <x:c r="D13" s="26" t="str">
        <x:f>IFERROR(IF('IP Input Sheet'!D10&lt;&gt;"",'IP Input Sheet'!D10,IF('IP Input Sheet'!E10&lt;&gt;"",'IP Input Sheet'!E10,'IP Input Sheet'!F10)),"[Enter IP]")</x:f>
        <x:v>10.3.118.0/24</x:v>
      </x:c>
      <x:c r="E13" s="26" t="s">
        <x:v>322</x:v>
      </x:c>
      <x:c r="F13" s="26"/>
      <x:c r="G13" s="26" t="s">
        <x:v>327</x:v>
      </x:c>
      <x:c r="H13" s="26" t="s">
        <x:v>252</x:v>
      </x:c>
      <x:c r="I13" s="26" t="s">
        <x:v>839</x:v>
      </x:c>
      <x:c r="J13" s="24" t="s">
        <x:v>254</x:v>
      </x:c>
      <x:c r="K13" s="25" t="s">
        <x:v>255</x:v>
      </x:c>
      <x:c r="L13" s="26" t="s">
        <x:v>256</x:v>
      </x:c>
      <x:c r="M13" s="26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23" t="s">
        <x:v>851</x:v>
      </x:c>
      <x:c r="B14" s="23" t="s">
        <x:v>852</x:v>
      </x:c>
      <x:c r="C14" s="23" t="s">
        <x:v>27</x:v>
      </x:c>
      <x:c r="D14" s="23" t="str">
        <x:f>IFERROR(IF('IP Input Sheet'!D10&lt;&gt;"",'IP Input Sheet'!D10,IF('IP Input Sheet'!E10&lt;&gt;"",'IP Input Sheet'!E10,'IP Input Sheet'!F10)),"[Enter IP]")</x:f>
        <x:v>10.3.118.0/24</x:v>
      </x:c>
      <x:c r="E14" s="23" t="s">
        <x:v>853</x:v>
      </x:c>
      <x:c r="F14" s="23" t="s">
        <x:v>854</x:v>
      </x:c>
      <x:c r="G14" s="23" t="s">
        <x:v>251</x:v>
      </x:c>
      <x:c r="H14" s="23" t="s">
        <x:v>252</x:v>
      </x:c>
      <x:c r="I14" s="23" t="s">
        <x:v>855</x:v>
      </x:c>
      <x:c r="J14" s="24" t="s">
        <x:v>254</x:v>
      </x:c>
      <x:c r="K14" s="25" t="s">
        <x:v>255</x:v>
      </x:c>
      <x:c r="L14" s="23" t="s">
        <x:v>256</x:v>
      </x:c>
      <x:c r="M14" s="23" t="s">
        <x:v>856</x:v>
      </x:c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26" t="s">
        <x:v>857</x:v>
      </x:c>
      <x:c r="B15" s="26" t="s">
        <x:v>858</x:v>
      </x:c>
      <x:c r="C15" s="26" t="s">
        <x:v>27</x:v>
      </x:c>
      <x:c r="D15" s="26" t="str">
        <x:f>IFERROR(IF('IP Input Sheet'!D10&lt;&gt;"",'IP Input Sheet'!D10,IF('IP Input Sheet'!E10&lt;&gt;"",'IP Input Sheet'!E10,'IP Input Sheet'!F10)),"[Enter IP]")</x:f>
        <x:v>10.3.118.0/24</x:v>
      </x:c>
      <x:c r="E15" s="26" t="s">
        <x:v>203</x:v>
      </x:c>
      <x:c r="F15" s="26"/>
      <x:c r="G15" s="26" t="s">
        <x:v>271</x:v>
      </x:c>
      <x:c r="H15" s="26" t="s">
        <x:v>272</x:v>
      </x:c>
      <x:c r="I15" s="26" t="s">
        <x:v>859</x:v>
      </x:c>
      <x:c r="J15" s="24" t="s">
        <x:v>254</x:v>
      </x:c>
      <x:c r="K15" s="25" t="s">
        <x:v>255</x:v>
      </x:c>
      <x:c r="L15" s="26" t="s">
        <x:v>256</x:v>
      </x:c>
      <x:c r="M15" s="26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23" t="s">
        <x:v>860</x:v>
      </x:c>
      <x:c r="B16" s="23" t="s">
        <x:v>861</x:v>
      </x:c>
      <x:c r="C16" s="23" t="s">
        <x:v>27</x:v>
      </x:c>
      <x:c r="D16" s="23" t="str">
        <x:f>IFERROR(IF('IP Input Sheet'!D10&lt;&gt;"",'IP Input Sheet'!D10,IF('IP Input Sheet'!E10&lt;&gt;"",'IP Input Sheet'!E10,'IP Input Sheet'!F10)),"[Enter IP]")</x:f>
        <x:v>10.3.118.0/24</x:v>
      </x:c>
      <x:c r="E16" s="23" t="s">
        <x:v>207</x:v>
      </x:c>
      <x:c r="F16" s="23"/>
      <x:c r="G16" s="23" t="s">
        <x:v>277</x:v>
      </x:c>
      <x:c r="H16" s="23" t="s">
        <x:v>278</x:v>
      </x:c>
      <x:c r="I16" s="23" t="s">
        <x:v>618</x:v>
      </x:c>
      <x:c r="J16" s="24" t="s">
        <x:v>254</x:v>
      </x:c>
      <x:c r="K16" s="25" t="s">
        <x:v>255</x:v>
      </x:c>
      <x:c r="L16" s="23" t="s">
        <x:v>256</x:v>
      </x:c>
      <x:c r="M16" s="23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26" t="s">
        <x:v>862</x:v>
      </x:c>
      <x:c r="B17" s="26" t="s">
        <x:v>863</x:v>
      </x:c>
      <x:c r="C17" s="26" t="s">
        <x:v>27</x:v>
      </x:c>
      <x:c r="D17" s="26" t="str">
        <x:f>IFERROR(IF('IP Input Sheet'!D10&lt;&gt;"",'IP Input Sheet'!D10,IF('IP Input Sheet'!E10&lt;&gt;"",'IP Input Sheet'!E10,'IP Input Sheet'!F10)),"[Enter IP]")</x:f>
        <x:v>10.3.118.0/24</x:v>
      </x:c>
      <x:c r="E17" s="26" t="s">
        <x:v>335</x:v>
      </x:c>
      <x:c r="F17" s="26" t="str">
        <x:f>IF('IP Input Sheet'!$D$64&lt;&gt;"",'IP Input Sheet'!$D$64,IF('IP Input Sheet'!$E$64&lt;&gt;"",'IP Input Sheet'!$E$64,'IP Input Sheet'!$F$64))</x:f>
        <x:v>N/A — shared</x:v>
      </x:c>
      <x:c r="G17" s="26" t="s">
        <x:v>287</x:v>
      </x:c>
      <x:c r="H17" s="26" t="s">
        <x:v>252</x:v>
      </x:c>
      <x:c r="I17" s="26" t="str">
        <x:v>SFTP Backup – TCP/22</x:v>
      </x:c>
      <x:c r="J17" s="24" t="s">
        <x:v>254</x:v>
      </x:c>
      <x:c r="K17" s="25" t="s">
        <x:v>255</x:v>
      </x:c>
      <x:c r="L17" s="26" t="s">
        <x:v>256</x:v>
      </x:c>
      <x:c r="M17" s="26" t="str">
        <x:v>Normalized SFTP backup entry linked to IP Input Sheet (SFTP_SRV).</x:v>
      </x:c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23" t="s">
        <x:v>864</x:v>
      </x:c>
      <x:c r="B18" s="23" t="s">
        <x:v>865</x:v>
      </x:c>
      <x:c r="C18" s="23" t="s">
        <x:v>27</x:v>
      </x:c>
      <x:c r="D18" s="23" t="str">
        <x:f>IFERROR(IF('IP Input Sheet'!D10&lt;&gt;"",'IP Input Sheet'!D10,IF('IP Input Sheet'!E10&lt;&gt;"",'IP Input Sheet'!E10,'IP Input Sheet'!F10)),"[Enter IP]")</x:f>
        <x:v>10.3.118.0/24</x:v>
      </x:c>
      <x:c r="E18" s="23" t="s">
        <x:v>213</x:v>
      </x:c>
      <x:c r="F18" s="23"/>
      <x:c r="G18" s="23" t="s">
        <x:v>251</x:v>
      </x:c>
      <x:c r="H18" s="23" t="s">
        <x:v>252</x:v>
      </x:c>
      <x:c r="I18" s="23" t="s">
        <x:v>866</x:v>
      </x:c>
      <x:c r="J18" s="24" t="s">
        <x:v>254</x:v>
      </x:c>
      <x:c r="K18" s="25" t="s">
        <x:v>255</x:v>
      </x:c>
      <x:c r="L18" s="23" t="s">
        <x:v>256</x:v>
      </x:c>
      <x:c r="M18" s="23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26" t="s">
        <x:v>867</x:v>
      </x:c>
      <x:c r="B19" s="26" t="s">
        <x:v>868</x:v>
      </x:c>
      <x:c r="C19" s="26" t="s">
        <x:v>718</x:v>
      </x:c>
      <x:c r="D19" s="26" t="s">
        <x:v>869</x:v>
      </x:c>
      <x:c r="E19" s="26" t="s">
        <x:v>870</x:v>
      </x:c>
      <x:c r="F19" s="26" t="s">
        <x:v>871</x:v>
      </x:c>
      <x:c r="G19" s="26" t="s">
        <x:v>720</x:v>
      </x:c>
      <x:c r="H19" s="26" t="s">
        <x:v>720</x:v>
      </x:c>
      <x:c r="I19" s="26" t="s">
        <x:v>872</x:v>
      </x:c>
      <x:c r="J19" s="24" t="s">
        <x:v>254</x:v>
      </x:c>
      <x:c r="K19" s="25" t="s">
        <x:v>255</x:v>
      </x:c>
      <x:c r="L19" s="26" t="s">
        <x:v>261</x:v>
      </x:c>
      <x:c r="M19" s="26" t="s">
        <x:v>873</x:v>
      </x:c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13" t="str">
        <x:v>EX-17</x:v>
      </x:c>
      <x:c r="B20" s="13" t="str">
        <x:v>NSX GM → SFTP Backup</x:v>
      </x:c>
      <x:c r="C20" s="13" t="str">
        <x:v>NSX Global Manager</x:v>
      </x:c>
      <x:c r="D20" s="13" t="str">
        <x:f>IF('IP Input Sheet'!$D$15&lt;&gt;"",'IP Input Sheet'!$D$15,IF('IP Input Sheet'!$E$15&lt;&gt;"",'IP Input Sheet'!$E$15,'IP Input Sheet'!$F$15))</x:f>
        <x:v>10.3.118.0/24</x:v>
      </x:c>
      <x:c r="E20" s="13" t="str">
        <x:v>SFTP Server</x:v>
      </x:c>
      <x:c r="F20" s="13" t="str">
        <x:f>IF('IP Input Sheet'!$D$64&lt;&gt;"",'IP Input Sheet'!$D$64,IF('IP Input Sheet'!$E$64&lt;&gt;"",'IP Input Sheet'!$E$64,'IP Input Sheet'!$F$64))</x:f>
        <x:v>N/A — shared</x:v>
      </x:c>
      <x:c r="G20" s="13" t="str">
        <x:v>22</x:v>
      </x:c>
      <x:c r="H20" s="13" t="str">
        <x:v>TCP</x:v>
      </x:c>
      <x:c r="I20" s="13" t="str">
        <x:v>SFTP Backup – TCP/22</x:v>
      </x:c>
      <x:c r="J20" s="13" t="str">
        <x:v>Allow</x:v>
      </x:c>
      <x:c r="K20" s="13" t="str">
        <x:v>Gateway FW</x:v>
      </x:c>
      <x:c r="L20" s="13" t="str">
        <x:v>Outbound</x:v>
      </x:c>
      <x:c r="M20" s="13" t="str">
        <x:v>Explicit NSX Global Manager backup path to external SFTP per NSX LLD.</x:v>
      </x:c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5.7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.7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5.7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5.7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5.7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5.7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5.7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5.7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5.7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5.7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5.7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5.7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5.7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5.7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5.7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5.7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5.7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5.7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5.7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5.7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5.7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5.7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5.7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5.7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5.7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5.7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5.7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5.7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5.7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5.7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5.7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5.7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5.7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5.7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5.7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5.7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5.7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5.7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5.7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30A0"/>
  </x:sheetPr>
  <x:sheetFormatPr defaultColWidth="14.430000305175781" defaultRowHeight="15"/>
  <x:cols>
    <x:col min="1" max="1" width="7" customWidth="1"/>
    <x:col min="2" max="2" width="30" customWidth="1"/>
    <x:col min="3" max="3" width="24" customWidth="1"/>
    <x:col min="4" max="4" width="26" customWidth="1"/>
    <x:col min="5" max="5" width="22" customWidth="1"/>
    <x:col min="6" max="6" width="16" customWidth="1"/>
    <x:col min="7" max="7" width="28" customWidth="1"/>
    <x:col min="8" max="8" width="12" customWidth="1"/>
    <x:col min="9" max="9" width="40" customWidth="1"/>
  </x:cols>
  <x:sheetData>
    <x:row r="1" ht="27.75" customHeight="1">
      <x:c r="A1" s="22" t="s">
        <x:v>874</x:v>
      </x:c>
      <x:c r="B1" s="2"/>
      <x:c r="C1" s="2"/>
      <x:c r="D1" s="2"/>
      <x:c r="E1" s="2"/>
      <x:c r="F1" s="2"/>
      <x:c r="G1" s="2"/>
      <x:c r="H1" s="2"/>
      <x:c r="I1" s="3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5" t="s">
        <x:v>875</x:v>
      </x:c>
      <x:c r="B2" s="2"/>
      <x:c r="C2" s="2"/>
      <x:c r="D2" s="2"/>
      <x:c r="E2" s="2"/>
      <x:c r="F2" s="2"/>
      <x:c r="G2" s="2"/>
      <x:c r="H2" s="2"/>
      <x:c r="I2" s="3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5.5" customHeight="1">
      <x:c r="A3" s="6" t="s">
        <x:v>2</x:v>
      </x:c>
      <x:c r="B3" s="6" t="s">
        <x:v>876</x:v>
      </x:c>
      <x:c r="C3" s="6" t="s">
        <x:v>877</x:v>
      </x:c>
      <x:c r="D3" s="6" t="s">
        <x:v>878</x:v>
      </x:c>
      <x:c r="E3" s="6" t="s">
        <x:v>879</x:v>
      </x:c>
      <x:c r="F3" s="6" t="s">
        <x:v>880</x:v>
      </x:c>
      <x:c r="G3" s="6" t="s">
        <x:v>238</x:v>
      </x:c>
      <x:c r="H3" s="6" t="s">
        <x:v>881</x:v>
      </x:c>
      <x:c r="I3" s="6" t="s">
        <x:v>248</x:v>
      </x:c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23" t="s">
        <x:v>882</x:v>
      </x:c>
      <x:c r="B4" s="23" t="s">
        <x:v>883</x:v>
      </x:c>
      <x:c r="C4" s="23" t="str">
        <x:f>IFERROR(IF('IP Input Sheet'!D11&lt;&gt;"",'IP Input Sheet'!D11,IF('IP Input Sheet'!E11&lt;&gt;"",'IP Input Sheet'!E11,'IP Input Sheet'!F11)),"[Enter IP]")</x:f>
        <x:v>10.5.25.64/26</x:v>
      </x:c>
      <x:c r="D4" s="23" t="s">
        <x:v>884</x:v>
      </x:c>
      <x:c r="E4" s="23" t="s">
        <x:v>885</x:v>
      </x:c>
      <x:c r="F4" s="25" t="s">
        <x:v>886</x:v>
      </x:c>
      <x:c r="G4" s="23" t="s">
        <x:v>718</x:v>
      </x:c>
      <x:c r="H4" s="23" t="s">
        <x:v>887</x:v>
      </x:c>
      <x:c r="I4" s="23" t="s">
        <x:v>888</x:v>
      </x:c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26" t="s">
        <x:v>889</x:v>
      </x:c>
      <x:c r="B5" s="26" t="s">
        <x:v>623</x:v>
      </x:c>
      <x:c r="C5" s="26" t="str">
        <x:f>IFERROR(IF('IP Input Sheet'!D5&lt;&gt;"",'IP Input Sheet'!D5,IF('IP Input Sheet'!E5&lt;&gt;"",'IP Input Sheet'!E5,'IP Input Sheet'!F5)),"[Enter IP]")</x:f>
        <x:v>10.5.25.86</x:v>
      </x:c>
      <x:c r="D5" s="26" t="s">
        <x:v>884</x:v>
      </x:c>
      <x:c r="E5" s="26" t="s">
        <x:v>885</x:v>
      </x:c>
      <x:c r="F5" s="25" t="s">
        <x:v>885</x:v>
      </x:c>
      <x:c r="G5" s="26" t="s">
        <x:v>10</x:v>
      </x:c>
      <x:c r="H5" s="26" t="s">
        <x:v>887</x:v>
      </x:c>
      <x:c r="I5" s="26" t="s">
        <x:v>890</x:v>
      </x:c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23" t="s">
        <x:v>891</x:v>
      </x:c>
      <x:c r="B6" s="23" t="s">
        <x:v>14</x:v>
      </x:c>
      <x:c r="C6" s="23" t="str">
        <x:f>IFERROR(IF('IP Input Sheet'!D6&lt;&gt;"",'IP Input Sheet'!D6,IF('IP Input Sheet'!E6&lt;&gt;"",'IP Input Sheet'!E6,'IP Input Sheet'!F6)),"[Enter IP]")</x:f>
        <x:v>10.5.25.64/26</x:v>
      </x:c>
      <x:c r="D6" s="23" t="s">
        <x:v>884</x:v>
      </x:c>
      <x:c r="E6" s="23" t="s">
        <x:v>885</x:v>
      </x:c>
      <x:c r="F6" s="25" t="s">
        <x:v>885</x:v>
      </x:c>
      <x:c r="G6" s="23" t="s">
        <x:v>892</x:v>
      </x:c>
      <x:c r="H6" s="23" t="s">
        <x:v>887</x:v>
      </x:c>
      <x:c r="I6" s="23" t="s">
        <x:v>893</x:v>
      </x:c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26" t="s">
        <x:v>894</x:v>
      </x:c>
      <x:c r="B7" s="26" t="s">
        <x:v>18</x:v>
      </x:c>
      <x:c r="C7" s="26" t="str">
        <x:f>IFERROR(IF('IP Input Sheet'!D7&lt;&gt;"",'IP Input Sheet'!D7,IF('IP Input Sheet'!E7&lt;&gt;"",'IP Input Sheet'!E7,'IP Input Sheet'!F7)),"[Enter IP]")</x:f>
        <x:v>10.5.25.64/26</x:v>
      </x:c>
      <x:c r="D7" s="26" t="s">
        <x:v>884</x:v>
      </x:c>
      <x:c r="E7" s="26" t="s">
        <x:v>885</x:v>
      </x:c>
      <x:c r="F7" s="25" t="s">
        <x:v>885</x:v>
      </x:c>
      <x:c r="G7" s="26" t="s">
        <x:v>286</x:v>
      </x:c>
      <x:c r="H7" s="26" t="s">
        <x:v>887</x:v>
      </x:c>
      <x:c r="I7" s="26" t="s">
        <x:v>893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23" t="s">
        <x:v>895</x:v>
      </x:c>
      <x:c r="B8" s="23" t="s">
        <x:v>896</x:v>
      </x:c>
      <x:c r="C8" s="23" t="str">
        <x:f>IFERROR(IF('IP Input Sheet'!D8&lt;&gt;"",'IP Input Sheet'!D8,IF('IP Input Sheet'!E8&lt;&gt;"",'IP Input Sheet'!E8,'IP Input Sheet'!F8)),"[Enter IP]")</x:f>
        <x:v>10.5.25.64/26</x:v>
      </x:c>
      <x:c r="D8" s="23" t="s">
        <x:v>884</x:v>
      </x:c>
      <x:c r="E8" s="23" t="s">
        <x:v>885</x:v>
      </x:c>
      <x:c r="F8" s="25" t="s">
        <x:v>885</x:v>
      </x:c>
      <x:c r="G8" s="23" t="s">
        <x:v>638</x:v>
      </x:c>
      <x:c r="H8" s="23" t="s">
        <x:v>887</x:v>
      </x:c>
      <x:c r="I8" s="23" t="s">
        <x:v>893</x:v>
      </x:c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26" t="s">
        <x:v>897</x:v>
      </x:c>
      <x:c r="B9" s="26" t="s">
        <x:v>376</x:v>
      </x:c>
      <x:c r="C9" s="26" t="str">
        <x:f>IFERROR(IF('IP Input Sheet'!D9&lt;&gt;"",'IP Input Sheet'!D9,IF('IP Input Sheet'!E9&lt;&gt;"",'IP Input Sheet'!E9,'IP Input Sheet'!F9)),"[Enter IP]")</x:f>
        <x:v>10.5.25.64/26</x:v>
      </x:c>
      <x:c r="D9" s="26" t="s">
        <x:v>884</x:v>
      </x:c>
      <x:c r="E9" s="26" t="s">
        <x:v>885</x:v>
      </x:c>
      <x:c r="F9" s="25" t="s">
        <x:v>885</x:v>
      </x:c>
      <x:c r="G9" s="26" t="s">
        <x:v>647</x:v>
      </x:c>
      <x:c r="H9" s="26" t="s">
        <x:v>887</x:v>
      </x:c>
      <x:c r="I9" s="26" t="s">
        <x:v>893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23" t="s">
        <x:v>898</x:v>
      </x:c>
      <x:c r="B10" s="23" t="s">
        <x:v>27</x:v>
      </x:c>
      <x:c r="C10" s="23" t="str">
        <x:f>IFERROR(IF('IP Input Sheet'!D10&lt;&gt;"",'IP Input Sheet'!D10,IF('IP Input Sheet'!E10&lt;&gt;"",'IP Input Sheet'!E10,'IP Input Sheet'!F10)),"[Enter IP]")</x:f>
        <x:v>10.3.118.0/24</x:v>
      </x:c>
      <x:c r="D10" s="23" t="s">
        <x:v>884</x:v>
      </x:c>
      <x:c r="E10" s="23" t="s">
        <x:v>885</x:v>
      </x:c>
      <x:c r="F10" s="25" t="s">
        <x:v>885</x:v>
      </x:c>
      <x:c r="G10" s="23" t="s">
        <x:v>899</x:v>
      </x:c>
      <x:c r="H10" s="23" t="s">
        <x:v>887</x:v>
      </x:c>
      <x:c r="I10" s="23" t="s">
        <x:v>900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26" t="s">
        <x:v>901</x:v>
      </x:c>
      <x:c r="B11" s="26" t="s">
        <x:v>902</x:v>
      </x:c>
      <x:c r="C11" s="26" t="str">
        <x:f>IFERROR(IF('IP Input Sheet'!D13&lt;&gt;"",'IP Input Sheet'!D13,IF('IP Input Sheet'!E13&lt;&gt;"",'IP Input Sheet'!E13,'IP Input Sheet'!F13)),"[Enter IP]")</x:f>
        <x:v>10.3.118.18</x:v>
      </x:c>
      <x:c r="D11" s="26" t="s">
        <x:v>903</x:v>
      </x:c>
      <x:c r="E11" s="26" t="s">
        <x:v>904</x:v>
      </x:c>
      <x:c r="F11" s="37" t="s">
        <x:v>905</x:v>
      </x:c>
      <x:c r="G11" s="26" t="s">
        <x:v>906</x:v>
      </x:c>
      <x:c r="H11" s="26" t="s">
        <x:v>887</x:v>
      </x:c>
      <x:c r="I11" s="26" t="s">
        <x:v>907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23" t="s">
        <x:v>908</x:v>
      </x:c>
      <x:c r="B12" s="23" t="s">
        <x:v>36</x:v>
      </x:c>
      <x:c r="C12" s="23" t="str">
        <x:f>IFERROR(IF('IP Input Sheet'!D13&lt;&gt;"",'IP Input Sheet'!D13,IF('IP Input Sheet'!E13&lt;&gt;"",'IP Input Sheet'!E13,'IP Input Sheet'!F13)),"[Enter IP]")</x:f>
        <x:v>10.3.118.18</x:v>
      </x:c>
      <x:c r="D12" s="23" t="s">
        <x:v>903</x:v>
      </x:c>
      <x:c r="E12" s="23" t="s">
        <x:v>904</x:v>
      </x:c>
      <x:c r="F12" s="23" t="s">
        <x:v>909</x:v>
      </x:c>
      <x:c r="G12" s="23" t="s">
        <x:v>36</x:v>
      </x:c>
      <x:c r="H12" s="23" t="s">
        <x:v>887</x:v>
      </x:c>
      <x:c r="I12" s="23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26" t="s">
        <x:v>910</x:v>
      </x:c>
      <x:c r="B13" s="26" t="s">
        <x:v>267</x:v>
      </x:c>
      <x:c r="C13" s="26" t="str">
        <x:f>IFERROR(IF('IP Input Sheet'!D14&lt;&gt;"",'IP Input Sheet'!D14,IF('IP Input Sheet'!E14&lt;&gt;"",'IP Input Sheet'!E14,'IP Input Sheet'!F14)),"[Enter IP]")</x:f>
        <x:v>10.3.118.0/24</x:v>
      </x:c>
      <x:c r="D13" s="26" t="s">
        <x:v>903</x:v>
      </x:c>
      <x:c r="E13" s="26" t="s">
        <x:v>904</x:v>
      </x:c>
      <x:c r="F13" s="26" t="s">
        <x:v>909</x:v>
      </x:c>
      <x:c r="G13" s="26" t="s">
        <x:v>267</x:v>
      </x:c>
      <x:c r="H13" s="26" t="s">
        <x:v>887</x:v>
      </x:c>
      <x:c r="I13" s="26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23" t="s">
        <x:v>911</x:v>
      </x:c>
      <x:c r="B14" s="23" t="s">
        <x:v>47</x:v>
      </x:c>
      <x:c r="C14" s="23" t="str">
        <x:f>IFERROR(IF('IP Input Sheet'!D16&lt;&gt;"",'IP Input Sheet'!D16,IF('IP Input Sheet'!E16&lt;&gt;"",'IP Input Sheet'!E16,'IP Input Sheet'!F16)),"[Enter IP]")</x:f>
        <x:v>10.3.118.30</x:v>
      </x:c>
      <x:c r="D14" s="23" t="s">
        <x:v>903</x:v>
      </x:c>
      <x:c r="E14" s="23" t="s">
        <x:v>904</x:v>
      </x:c>
      <x:c r="F14" s="23" t="s">
        <x:v>909</x:v>
      </x:c>
      <x:c r="G14" s="23" t="s">
        <x:v>47</x:v>
      </x:c>
      <x:c r="H14" s="23" t="s">
        <x:v>887</x:v>
      </x:c>
      <x:c r="I14" s="23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26" t="s">
        <x:v>912</x:v>
      </x:c>
      <x:c r="B15" s="26" t="s">
        <x:v>913</x:v>
      </x:c>
      <x:c r="C15" s="26" t="str">
        <x:f>IFERROR(IF('IP Input Sheet'!D54&lt;&gt;"",'IP Input Sheet'!D54,IF('IP Input Sheet'!E54&lt;&gt;"",'IP Input Sheet'!E54,'IP Input Sheet'!F54)),"[Enter IP]")</x:f>
        <x:v>10.3.118.0/24</x:v>
      </x:c>
      <x:c r="D15" s="26" t="s">
        <x:v>903</x:v>
      </x:c>
      <x:c r="E15" s="26" t="s">
        <x:v>914</x:v>
      </x:c>
      <x:c r="F15" s="26" t="s">
        <x:v>909</x:v>
      </x:c>
      <x:c r="G15" s="26" t="s">
        <x:v>915</x:v>
      </x:c>
      <x:c r="H15" s="26" t="s">
        <x:v>887</x:v>
      </x:c>
      <x:c r="I15" s="26" t="s">
        <x:v>916</x:v>
      </x:c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23" t="s">
        <x:v>917</x:v>
      </x:c>
      <x:c r="B16" s="23" t="s">
        <x:v>918</x:v>
      </x:c>
      <x:c r="C16" s="23" t="str">
        <x:f>IFERROR(IF('IP Input Sheet'!D18&lt;&gt;"",'IP Input Sheet'!D18,IF('IP Input Sheet'!E18&lt;&gt;"",'IP Input Sheet'!E18,'IP Input Sheet'!F18)),"[Enter IP]")</x:f>
        <x:v>10.3.118.0/24</x:v>
      </x:c>
      <x:c r="D16" s="23" t="s">
        <x:v>903</x:v>
      </x:c>
      <x:c r="E16" s="23" t="s">
        <x:v>919</x:v>
      </x:c>
      <x:c r="F16" s="23" t="s">
        <x:v>909</x:v>
      </x:c>
      <x:c r="G16" s="23" t="s">
        <x:v>920</x:v>
      </x:c>
      <x:c r="H16" s="23" t="s">
        <x:v>887</x:v>
      </x:c>
      <x:c r="I16" s="23" t="s">
        <x:v>921</x:v>
      </x:c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26" t="s">
        <x:v>922</x:v>
      </x:c>
      <x:c r="B17" s="26" t="s">
        <x:v>190</x:v>
      </x:c>
      <x:c r="C17" s="26" t="str">
        <x:f>IFERROR(IF('IP Input Sheet'!D55&lt;&gt;"",'IP Input Sheet'!D55,IF('IP Input Sheet'!E55&lt;&gt;"",'IP Input Sheet'!E55,'IP Input Sheet'!F55)),"[Enter IP]")</x:f>
        <x:v>[Enter IP]</x:v>
      </x:c>
      <x:c r="D17" s="26" t="s">
        <x:v>884</x:v>
      </x:c>
      <x:c r="E17" s="26" t="s">
        <x:v>923</x:v>
      </x:c>
      <x:c r="F17" s="38" t="s">
        <x:v>924</x:v>
      </x:c>
      <x:c r="G17" s="26" t="s">
        <x:v>925</x:v>
      </x:c>
      <x:c r="H17" s="26" t="s">
        <x:v>887</x:v>
      </x:c>
      <x:c r="I17" s="26" t="s">
        <x:v>926</x:v>
      </x:c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23" t="s">
        <x:v>927</x:v>
      </x:c>
      <x:c r="B18" s="23" t="s">
        <x:v>203</x:v>
      </x:c>
      <x:c r="C18" s="23" t="n">
        <x:f>'IP Input Sheet'!D60</x:f>
        <x:v>0</x:v>
      </x:c>
      <x:c r="D18" s="23" t="s">
        <x:v>928</x:v>
      </x:c>
      <x:c r="E18" s="23" t="s">
        <x:v>929</x:v>
      </x:c>
      <x:c r="F18" s="23" t="s">
        <x:v>909</x:v>
      </x:c>
      <x:c r="G18" s="23" t="s">
        <x:v>930</x:v>
      </x:c>
      <x:c r="H18" s="23" t="s">
        <x:v>931</x:v>
      </x:c>
      <x:c r="I18" s="23" t="s">
        <x:v>932</x:v>
      </x:c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26" t="s">
        <x:v>933</x:v>
      </x:c>
      <x:c r="B19" s="26" t="s">
        <x:v>207</x:v>
      </x:c>
      <x:c r="C19" s="26" t="n">
        <x:f>'IP Input Sheet'!D61</x:f>
        <x:v>0</x:v>
      </x:c>
      <x:c r="D19" s="26" t="s">
        <x:v>928</x:v>
      </x:c>
      <x:c r="E19" s="26" t="s">
        <x:v>929</x:v>
      </x:c>
      <x:c r="F19" s="26" t="s">
        <x:v>909</x:v>
      </x:c>
      <x:c r="G19" s="26" t="s">
        <x:v>930</x:v>
      </x:c>
      <x:c r="H19" s="26" t="s">
        <x:v>931</x:v>
      </x:c>
      <x:c r="I19" s="26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23" t="s">
        <x:v>934</x:v>
      </x:c>
      <x:c r="B20" s="23" t="s">
        <x:v>322</x:v>
      </x:c>
      <x:c r="C20" s="23" t="n">
        <x:f>'IP Input Sheet'!D62</x:f>
        <x:v>0</x:v>
      </x:c>
      <x:c r="D20" s="23" t="s">
        <x:v>928</x:v>
      </x:c>
      <x:c r="E20" s="23" t="s">
        <x:v>929</x:v>
      </x:c>
      <x:c r="F20" s="23" t="s">
        <x:v>909</x:v>
      </x:c>
      <x:c r="G20" s="23" t="s">
        <x:v>935</x:v>
      </x:c>
      <x:c r="H20" s="23" t="s">
        <x:v>931</x:v>
      </x:c>
      <x:c r="I20" s="23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26" t="s">
        <x:v>936</x:v>
      </x:c>
      <x:c r="B21" s="26" t="s">
        <x:v>213</x:v>
      </x:c>
      <x:c r="C21" s="26" t="n">
        <x:f>'IP Input Sheet'!D63</x:f>
        <x:v>0</x:v>
      </x:c>
      <x:c r="D21" s="26" t="s">
        <x:v>928</x:v>
      </x:c>
      <x:c r="E21" s="26" t="s">
        <x:v>929</x:v>
      </x:c>
      <x:c r="F21" s="26" t="s">
        <x:v>909</x:v>
      </x:c>
      <x:c r="G21" s="26" t="s">
        <x:v>935</x:v>
      </x:c>
      <x:c r="H21" s="26" t="s">
        <x:v>931</x:v>
      </x:c>
      <x:c r="I21" s="26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23" t="s">
        <x:v>937</x:v>
      </x:c>
      <x:c r="B22" s="23" t="s">
        <x:v>216</x:v>
      </x:c>
      <x:c r="C22" s="23" t="n">
        <x:f>'IP Input Sheet'!D64</x:f>
        <x:v>0</x:v>
      </x:c>
      <x:c r="D22" s="23" t="s">
        <x:v>928</x:v>
      </x:c>
      <x:c r="E22" s="23" t="s">
        <x:v>929</x:v>
      </x:c>
      <x:c r="F22" s="23" t="s">
        <x:v>909</x:v>
      </x:c>
      <x:c r="G22" s="23" t="s">
        <x:v>938</x:v>
      </x:c>
      <x:c r="H22" s="23" t="s">
        <x:v>931</x:v>
      </x:c>
      <x:c r="I22" s="23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26" t="s">
        <x:v>939</x:v>
      </x:c>
      <x:c r="B23" s="26" t="s">
        <x:v>940</x:v>
      </x:c>
      <x:c r="C23" s="26" t="s">
        <x:v>941</x:v>
      </x:c>
      <x:c r="D23" s="26" t="s">
        <x:v>942</x:v>
      </x:c>
      <x:c r="E23" s="26" t="s">
        <x:v>943</x:v>
      </x:c>
      <x:c r="F23" s="37" t="s">
        <x:v>944</x:v>
      </x:c>
      <x:c r="G23" s="26" t="s">
        <x:v>945</x:v>
      </x:c>
      <x:c r="H23" s="26" t="s">
        <x:v>946</x:v>
      </x:c>
      <x:c r="I23" s="26" t="s">
        <x:v>947</x:v>
      </x:c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23" t="s">
        <x:v>948</x:v>
      </x:c>
      <x:c r="B24" s="23" t="s">
        <x:v>949</x:v>
      </x:c>
      <x:c r="C24" s="23" t="s">
        <x:v>950</x:v>
      </x:c>
      <x:c r="D24" s="23" t="s">
        <x:v>942</x:v>
      </x:c>
      <x:c r="E24" s="23" t="s">
        <x:v>951</x:v>
      </x:c>
      <x:c r="F24" s="37" t="s">
        <x:v>944</x:v>
      </x:c>
      <x:c r="G24" s="23" t="s">
        <x:v>453</x:v>
      </x:c>
      <x:c r="H24" s="23" t="s">
        <x:v>946</x:v>
      </x:c>
      <x:c r="I24" s="23" t="s">
        <x:v>952</x:v>
      </x:c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26" t="s">
        <x:v>953</x:v>
      </x:c>
      <x:c r="B25" s="26" t="s">
        <x:v>954</x:v>
      </x:c>
      <x:c r="C25" s="26" t="s">
        <x:v>955</x:v>
      </x:c>
      <x:c r="D25" s="26" t="s">
        <x:v>956</x:v>
      </x:c>
      <x:c r="E25" s="26" t="s">
        <x:v>957</x:v>
      </x:c>
      <x:c r="F25" s="37" t="s">
        <x:v>944</x:v>
      </x:c>
      <x:c r="G25" s="26" t="s">
        <x:v>958</x:v>
      </x:c>
      <x:c r="H25" s="26" t="s">
        <x:v>931</x:v>
      </x:c>
      <x:c r="I25" s="26" t="s">
        <x:v>959</x:v>
      </x:c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23" t="s">
        <x:v>960</x:v>
      </x:c>
      <x:c r="B26" s="23" t="s">
        <x:v>956</x:v>
      </x:c>
      <x:c r="C26" s="23" t="s">
        <x:v>961</x:v>
      </x:c>
      <x:c r="D26" s="23" t="s">
        <x:v>962</x:v>
      </x:c>
      <x:c r="E26" s="23" t="s">
        <x:v>963</x:v>
      </x:c>
      <x:c r="F26" s="38" t="s">
        <x:v>964</x:v>
      </x:c>
      <x:c r="G26" s="23" t="s">
        <x:v>965</x:v>
      </x:c>
      <x:c r="H26" s="23" t="s">
        <x:v>931</x:v>
      </x:c>
      <x:c r="I26" s="23" t="s">
        <x:v>966</x:v>
      </x:c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26" t="s">
        <x:v>917</x:v>
      </x:c>
      <x:c r="B27" s="26" t="s">
        <x:v>402</x:v>
      </x:c>
      <x:c r="C27" s="26" t="str">
        <x:f>IFERROR(IF('IP Input Sheet'!D19&lt;&gt;"",'IP Input Sheet'!D19,IF('IP Input Sheet'!E19&lt;&gt;"",'IP Input Sheet'!E19,'IP Input Sheet'!F19)),"[Enter IP]")</x:f>
        <x:v>10.3.118.101</x:v>
      </x:c>
      <x:c r="D27" s="26" t="s">
        <x:v>903</x:v>
      </x:c>
      <x:c r="E27" s="26" t="s">
        <x:v>904</x:v>
      </x:c>
      <x:c r="F27" s="26" t="s">
        <x:v>909</x:v>
      </x:c>
      <x:c r="G27" s="26" t="s">
        <x:v>967</x:v>
      </x:c>
      <x:c r="H27" s="26" t="s">
        <x:v>968</x:v>
      </x:c>
      <x:c r="I27" s="26" t="s">
        <x:v>969</x:v>
      </x:c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23" t="s">
        <x:v>922</x:v>
      </x:c>
      <x:c r="B28" s="23" t="s">
        <x:v>970</x:v>
      </x:c>
      <x:c r="C28" s="23" t="str">
        <x:f>'IP Input Sheet'!D22</x:f>
        <x:v>10.3.111.101</x:v>
      </x:c>
      <x:c r="D28" s="23" t="s">
        <x:v>971</x:v>
      </x:c>
      <x:c r="E28" s="23" t="s">
        <x:v>972</x:v>
      </x:c>
      <x:c r="F28" s="38" t="s">
        <x:v>973</x:v>
      </x:c>
      <x:c r="G28" s="23" t="s">
        <x:v>974</x:v>
      </x:c>
      <x:c r="H28" s="23" t="s">
        <x:v>946</x:v>
      </x:c>
      <x:c r="I28" s="23" t="s">
        <x:v>975</x:v>
      </x:c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26" t="s">
        <x:v>927</x:v>
      </x:c>
      <x:c r="B29" s="26" t="s">
        <x:v>976</x:v>
      </x:c>
      <x:c r="C29" s="26" t="str">
        <x:f>'IP Input Sheet'!D23</x:f>
        <x:v>10.3.111.121</x:v>
      </x:c>
      <x:c r="D29" s="26" t="s">
        <x:v>971</x:v>
      </x:c>
      <x:c r="E29" s="26" t="s">
        <x:v>977</x:v>
      </x:c>
      <x:c r="F29" s="38" t="s">
        <x:v>973</x:v>
      </x:c>
      <x:c r="G29" s="26" t="s">
        <x:v>978</x:v>
      </x:c>
      <x:c r="H29" s="26" t="s">
        <x:v>946</x:v>
      </x:c>
      <x:c r="I29" s="26" t="s">
        <x:v>975</x:v>
      </x:c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23" t="s">
        <x:v>933</x:v>
      </x:c>
      <x:c r="B30" s="23" t="s">
        <x:v>979</x:v>
      </x:c>
      <x:c r="C30" s="23" t="str">
        <x:f>'IP Input Sheet'!D24</x:f>
        <x:v>10.3.111.102</x:v>
      </x:c>
      <x:c r="D30" s="23" t="s">
        <x:v>980</x:v>
      </x:c>
      <x:c r="E30" s="23" t="s">
        <x:v>981</x:v>
      </x:c>
      <x:c r="F30" s="38" t="s">
        <x:v>973</x:v>
      </x:c>
      <x:c r="G30" s="23" t="s">
        <x:v>974</x:v>
      </x:c>
      <x:c r="H30" s="23" t="s">
        <x:v>946</x:v>
      </x:c>
      <x:c r="I30" s="23" t="s">
        <x:v>982</x:v>
      </x:c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26" t="s">
        <x:v>934</x:v>
      </x:c>
      <x:c r="B31" s="26" t="s">
        <x:v>983</x:v>
      </x:c>
      <x:c r="C31" s="26" t="str">
        <x:f>'IP Input Sheet'!D25</x:f>
        <x:v>10.3.111.122</x:v>
      </x:c>
      <x:c r="D31" s="26" t="s">
        <x:v>980</x:v>
      </x:c>
      <x:c r="E31" s="26" t="s">
        <x:v>984</x:v>
      </x:c>
      <x:c r="F31" s="38" t="s">
        <x:v>973</x:v>
      </x:c>
      <x:c r="G31" s="26" t="s">
        <x:v>978</x:v>
      </x:c>
      <x:c r="H31" s="26" t="s">
        <x:v>946</x:v>
      </x:c>
      <x:c r="I31" s="26" t="s">
        <x:v>982</x:v>
      </x:c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23" t="s">
        <x:v>936</x:v>
      </x:c>
      <x:c r="B32" s="23" t="s">
        <x:v>985</x:v>
      </x:c>
      <x:c r="C32" s="23" t="str">
        <x:f>IFERROR(IF('IP Input Sheet'!D30&lt;&gt;"",'IP Input Sheet'!D30,IF('IP Input Sheet'!E30&lt;&gt;"",'IP Input Sheet'!E30,'IP Input Sheet'!F30)),"[Enter IP]")</x:f>
        <x:v>10.5.236.0/24</x:v>
      </x:c>
      <x:c r="D32" s="23" t="s">
        <x:v>942</x:v>
      </x:c>
      <x:c r="E32" s="23" t="s">
        <x:v>986</x:v>
      </x:c>
      <x:c r="F32" s="37" t="s">
        <x:v>944</x:v>
      </x:c>
      <x:c r="G32" s="23" t="s">
        <x:v>453</x:v>
      </x:c>
      <x:c r="H32" s="23" t="s">
        <x:v>946</x:v>
      </x:c>
      <x:c r="I32" s="23" t="s">
        <x:v>987</x:v>
      </x:c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26" t="s">
        <x:v>937</x:v>
      </x:c>
      <x:c r="B33" s="26" t="s">
        <x:v>988</x:v>
      </x:c>
      <x:c r="C33" s="26" t="str">
        <x:f>IFERROR(IF('IP Input Sheet'!D31&lt;&gt;"",'IP Input Sheet'!D31,IF('IP Input Sheet'!E31&lt;&gt;"",'IP Input Sheet'!E31,'IP Input Sheet'!F31)),"[Enter IP]")</x:f>
        <x:v>10.5.22.0/24</x:v>
      </x:c>
      <x:c r="D33" s="26" t="s">
        <x:v>956</x:v>
      </x:c>
      <x:c r="E33" s="26" t="s">
        <x:v>989</x:v>
      </x:c>
      <x:c r="F33" s="37" t="s">
        <x:v>944</x:v>
      </x:c>
      <x:c r="G33" s="26" t="s">
        <x:v>990</x:v>
      </x:c>
      <x:c r="H33" s="26" t="s">
        <x:v>931</x:v>
      </x:c>
      <x:c r="I33" s="26" t="s">
        <x:v>991</x:v>
      </x:c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23" t="s">
        <x:v>939</x:v>
      </x:c>
      <x:c r="B34" s="23" t="s">
        <x:v>992</x:v>
      </x:c>
      <x:c r="C34" s="23" t="str">
        <x:f>IFERROR(IF('IP Input Sheet'!D32&lt;&gt;"",'IP Input Sheet'!D32,IF('IP Input Sheet'!E32&lt;&gt;"",'IP Input Sheet'!E32,'IP Input Sheet'!F32)),"[Enter IP]")</x:f>
        <x:v>10.3.111.97</x:v>
      </x:c>
      <x:c r="D34" s="23" t="s">
        <x:v>993</x:v>
      </x:c>
      <x:c r="E34" s="23" t="s">
        <x:v>994</x:v>
      </x:c>
      <x:c r="F34" s="38" t="s">
        <x:v>964</x:v>
      </x:c>
      <x:c r="G34" s="23" t="s">
        <x:v>995</x:v>
      </x:c>
      <x:c r="H34" s="23" t="s">
        <x:v>946</x:v>
      </x:c>
      <x:c r="I34" s="23" t="s">
        <x:v>996</x:v>
      </x:c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29" t="s">
        <x:v>997</x:v>
      </x:c>
      <x:c r="B35" s="29" t="s">
        <x:v>998</x:v>
      </x:c>
      <x:c r="C35" s="29" t="str">
        <x:f>IFERROR(IF('IP Input Sheet'!D21&lt;&gt;"",'IP Input Sheet'!D21,IF('IP Input Sheet'!E21&lt;&gt;"",'IP Input Sheet'!E21,'IP Input Sheet'!F21)),"[Enter IP]")</x:f>
        <x:v>[Enter IP]</x:v>
      </x:c>
      <x:c r="D35" s="29" t="s">
        <x:v>999</x:v>
      </x:c>
      <x:c r="E35" s="29" t="s">
        <x:v>1000</x:v>
      </x:c>
      <x:c r="F35" s="39" t="s">
        <x:v>973</x:v>
      </x:c>
      <x:c r="G35" s="29" t="s">
        <x:v>1001</x:v>
      </x:c>
      <x:c r="H35" s="29" t="s">
        <x:v>946</x:v>
      </x:c>
      <x:c r="I35" s="29" t="s">
        <x:v>1002</x:v>
      </x:c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27" t="s">
        <x:v>1003</x:v>
      </x:c>
      <x:c r="B36" s="27" t="s">
        <x:v>1004</x:v>
      </x:c>
      <x:c r="C36" s="27" t="str">
        <x:f>IFERROR(IF('IP Input Sheet'!D22&lt;&gt;"",'IP Input Sheet'!D22,IF('IP Input Sheet'!E22&lt;&gt;"",'IP Input Sheet'!E22,'IP Input Sheet'!F22)),"[Enter IP]")</x:f>
        <x:v>10.3.111.101</x:v>
      </x:c>
      <x:c r="D36" s="27" t="s">
        <x:v>1005</x:v>
      </x:c>
      <x:c r="E36" s="27" t="s">
        <x:v>1006</x:v>
      </x:c>
      <x:c r="F36" s="39" t="s">
        <x:v>973</x:v>
      </x:c>
      <x:c r="G36" s="27" t="s">
        <x:v>1001</x:v>
      </x:c>
      <x:c r="H36" s="27" t="s">
        <x:v>946</x:v>
      </x:c>
      <x:c r="I36" s="27" t="s">
        <x:v>1007</x:v>
      </x:c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29" t="s">
        <x:v>1008</x:v>
      </x:c>
      <x:c r="B37" s="29" t="s">
        <x:v>1009</x:v>
      </x:c>
      <x:c r="C37" s="29" t="str">
        <x:f>IFERROR(IF('IP Input Sheet'!D23&lt;&gt;"",'IP Input Sheet'!D23,IF('IP Input Sheet'!E23&lt;&gt;"",'IP Input Sheet'!E23,'IP Input Sheet'!F23)),"[Enter IP]")</x:f>
        <x:v>10.3.111.121</x:v>
      </x:c>
      <x:c r="D37" s="29" t="s">
        <x:v>999</x:v>
      </x:c>
      <x:c r="E37" s="29" t="s">
        <x:v>1000</x:v>
      </x:c>
      <x:c r="F37" s="39" t="s">
        <x:v>973</x:v>
      </x:c>
      <x:c r="G37" s="29" t="s">
        <x:v>1010</x:v>
      </x:c>
      <x:c r="H37" s="29" t="s">
        <x:v>946</x:v>
      </x:c>
      <x:c r="I37" s="29" t="s">
        <x:v>1011</x:v>
      </x:c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27" t="s">
        <x:v>1012</x:v>
      </x:c>
      <x:c r="B38" s="27" t="s">
        <x:v>1013</x:v>
      </x:c>
      <x:c r="C38" s="27" t="str">
        <x:f>IFERROR(IF('IP Input Sheet'!D24&lt;&gt;"",'IP Input Sheet'!D24,IF('IP Input Sheet'!E24&lt;&gt;"",'IP Input Sheet'!E24,'IP Input Sheet'!F24)),"[Enter IP]")</x:f>
        <x:v>10.3.111.102</x:v>
      </x:c>
      <x:c r="D38" s="27" t="s">
        <x:v>1005</x:v>
      </x:c>
      <x:c r="E38" s="27" t="s">
        <x:v>1006</x:v>
      </x:c>
      <x:c r="F38" s="39" t="s">
        <x:v>973</x:v>
      </x:c>
      <x:c r="G38" s="27" t="s">
        <x:v>1010</x:v>
      </x:c>
      <x:c r="H38" s="27" t="s">
        <x:v>946</x:v>
      </x:c>
      <x:c r="I38" s="27" t="s">
        <x:v>1014</x:v>
      </x:c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29" t="s">
        <x:v>1015</x:v>
      </x:c>
      <x:c r="B39" s="29" t="s">
        <x:v>1016</x:v>
      </x:c>
      <x:c r="C39" s="29" t="str">
        <x:f>IFERROR(IF('IP Input Sheet'!D25&lt;&gt;"",'IP Input Sheet'!D25,IF('IP Input Sheet'!E25&lt;&gt;"",'IP Input Sheet'!E25,'IP Input Sheet'!F25)),"[Enter IP]")</x:f>
        <x:v>10.3.111.122</x:v>
      </x:c>
      <x:c r="D39" s="29" t="s">
        <x:v>1017</x:v>
      </x:c>
      <x:c r="E39" s="29" t="s">
        <x:v>1018</x:v>
      </x:c>
      <x:c r="F39" s="39" t="s">
        <x:v>973</x:v>
      </x:c>
      <x:c r="G39" s="29" t="s">
        <x:v>1019</x:v>
      </x:c>
      <x:c r="H39" s="29" t="s">
        <x:v>946</x:v>
      </x:c>
      <x:c r="I39" s="29" t="s">
        <x:v>1020</x:v>
      </x:c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27" t="s">
        <x:v>1021</x:v>
      </x:c>
      <x:c r="B40" s="27" t="s">
        <x:v>1022</x:v>
      </x:c>
      <x:c r="C40" s="27" t="str">
        <x:f>IFERROR(IF('IP Input Sheet'!D26&lt;&gt;"",'IP Input Sheet'!D26,IF('IP Input Sheet'!E26&lt;&gt;"",'IP Input Sheet'!E26,'IP Input Sheet'!F26)),"[Enter IP]")</x:f>
        <x:v>10.3.111.133</x:v>
      </x:c>
      <x:c r="D40" s="27" t="s">
        <x:v>1023</x:v>
      </x:c>
      <x:c r="E40" s="27" t="s">
        <x:v>1024</x:v>
      </x:c>
      <x:c r="F40" s="39" t="s">
        <x:v>973</x:v>
      </x:c>
      <x:c r="G40" s="27" t="s">
        <x:v>1019</x:v>
      </x:c>
      <x:c r="H40" s="27" t="s">
        <x:v>946</x:v>
      </x:c>
      <x:c r="I40" s="27" t="s">
        <x:v>1025</x:v>
      </x:c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29" t="s">
        <x:v>1026</x:v>
      </x:c>
      <x:c r="B41" s="29" t="s">
        <x:v>1027</x:v>
      </x:c>
      <x:c r="C41" s="29" t="str">
        <x:f>IFERROR(IF('IP Input Sheet'!D27&lt;&gt;"",'IP Input Sheet'!D27,IF('IP Input Sheet'!E27&lt;&gt;"",'IP Input Sheet'!E27,'IP Input Sheet'!F27)),"[Enter IP]")</x:f>
        <x:v>10.3.111.153</x:v>
      </x:c>
      <x:c r="D41" s="29" t="s">
        <x:v>1017</x:v>
      </x:c>
      <x:c r="E41" s="29" t="s">
        <x:v>1018</x:v>
      </x:c>
      <x:c r="F41" s="39" t="s">
        <x:v>973</x:v>
      </x:c>
      <x:c r="G41" s="29" t="s">
        <x:v>1028</x:v>
      </x:c>
      <x:c r="H41" s="29" t="s">
        <x:v>946</x:v>
      </x:c>
      <x:c r="I41" s="29" t="s">
        <x:v>1029</x:v>
      </x:c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27" t="s">
        <x:v>1030</x:v>
      </x:c>
      <x:c r="B42" s="27" t="s">
        <x:v>1031</x:v>
      </x:c>
      <x:c r="C42" s="27" t="str">
        <x:f>IFERROR(IF('IP Input Sheet'!D28&lt;&gt;"",'IP Input Sheet'!D28,IF('IP Input Sheet'!E28&lt;&gt;"",'IP Input Sheet'!E28,'IP Input Sheet'!F28)),"[Enter IP]")</x:f>
        <x:v>10.3.111.134</x:v>
      </x:c>
      <x:c r="D42" s="27" t="s">
        <x:v>1023</x:v>
      </x:c>
      <x:c r="E42" s="27" t="s">
        <x:v>1024</x:v>
      </x:c>
      <x:c r="F42" s="39" t="s">
        <x:v>973</x:v>
      </x:c>
      <x:c r="G42" s="27" t="s">
        <x:v>1028</x:v>
      </x:c>
      <x:c r="H42" s="27" t="s">
        <x:v>946</x:v>
      </x:c>
      <x:c r="I42" s="27" t="s">
        <x:v>1032</x:v>
      </x:c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29" t="s">
        <x:v>1033</x:v>
      </x:c>
      <x:c r="B43" s="29" t="s">
        <x:v>985</x:v>
      </x:c>
      <x:c r="C43" s="29" t="str">
        <x:f>IFERROR(IF('IP Input Sheet'!D29&lt;&gt;"",'IP Input Sheet'!D29,IF('IP Input Sheet'!E29&lt;&gt;"",'IP Input Sheet'!E29,'IP Input Sheet'!F29)),"[Enter IP]")</x:f>
        <x:v>10.3.111.154</x:v>
      </x:c>
      <x:c r="D43" s="29" t="s">
        <x:v>942</x:v>
      </x:c>
      <x:c r="E43" s="29" t="s">
        <x:v>986</x:v>
      </x:c>
      <x:c r="F43" s="30" t="s">
        <x:v>944</x:v>
      </x:c>
      <x:c r="G43" s="29" t="s">
        <x:v>453</x:v>
      </x:c>
      <x:c r="H43" s="29" t="s">
        <x:v>946</x:v>
      </x:c>
      <x:c r="I43" s="29" t="s">
        <x:v>1034</x:v>
      </x:c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27" t="s">
        <x:v>1035</x:v>
      </x:c>
      <x:c r="B44" s="27" t="s">
        <x:v>1036</x:v>
      </x:c>
      <x:c r="C44" s="27" t="str">
        <x:f>IFERROR(IF('IP Input Sheet'!D30&lt;&gt;"",'IP Input Sheet'!D30,IF('IP Input Sheet'!E30&lt;&gt;"",'IP Input Sheet'!E30,'IP Input Sheet'!F30)),"[Enter IP]")</x:f>
        <x:v>10.5.236.0/24</x:v>
      </x:c>
      <x:c r="D44" s="27" t="s">
        <x:v>956</x:v>
      </x:c>
      <x:c r="E44" s="27" t="s">
        <x:v>989</x:v>
      </x:c>
      <x:c r="F44" s="30" t="s">
        <x:v>944</x:v>
      </x:c>
      <x:c r="G44" s="27" t="s">
        <x:v>1037</x:v>
      </x:c>
      <x:c r="H44" s="27" t="s">
        <x:v>931</x:v>
      </x:c>
      <x:c r="I44" s="27" t="s">
        <x:v>1038</x:v>
      </x:c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5.7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5.7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5.7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5.7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5.7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5.7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5.7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5.7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5.7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5.7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5.7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5.7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5.7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5.7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5.7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04040"/>
  </x:sheetPr>
  <x:sheetFormatPr defaultColWidth="14.430000305175781" defaultRowHeight="15"/>
  <x:cols>
    <x:col min="1" max="1" width="12" customWidth="1"/>
    <x:col min="2" max="2" width="10" customWidth="1"/>
    <x:col min="3" max="3" width="26" customWidth="1"/>
    <x:col min="4" max="5" width="36" customWidth="1"/>
    <x:col min="6" max="6" width="44" customWidth="1"/>
  </x:cols>
  <x:sheetData>
    <x:row r="1" ht="27.75" customHeight="1">
      <x:c r="A1" s="22" t="s">
        <x:v>1039</x:v>
      </x:c>
      <x:c r="B1" s="2"/>
      <x:c r="C1" s="2"/>
      <x:c r="D1" s="2"/>
      <x:c r="E1" s="2"/>
      <x:c r="F1" s="3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1.75" customHeight="1">
      <x:c r="A2" s="6" t="s">
        <x:v>242</x:v>
      </x:c>
      <x:c r="B2" s="6" t="s">
        <x:v>243</x:v>
      </x:c>
      <x:c r="C2" s="6" t="s">
        <x:v>1040</x:v>
      </x:c>
      <x:c r="D2" s="6" t="s">
        <x:v>1041</x:v>
      </x:c>
      <x:c r="E2" s="6" t="s">
        <x:v>1042</x:v>
      </x:c>
      <x:c r="F2" s="6" t="s">
        <x:v>248</x:v>
      </x:c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1.75" customHeight="1">
      <x:c r="A3" s="40" t="s">
        <x:v>287</x:v>
      </x:c>
      <x:c r="B3" s="26" t="s">
        <x:v>252</x:v>
      </x:c>
      <x:c r="C3" s="26" t="s">
        <x:v>361</x:v>
      </x:c>
      <x:c r="D3" s="26" t="s">
        <x:v>1043</x:v>
      </x:c>
      <x:c r="E3" s="26" t="s">
        <x:v>1044</x:v>
      </x:c>
      <x:c r="F3" s="26" t="s">
        <x:v>1045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1.75" customHeight="1">
      <x:c r="A4" s="41" t="s">
        <x:v>1046</x:v>
      </x:c>
      <x:c r="B4" s="23" t="s">
        <x:v>1047</x:v>
      </x:c>
      <x:c r="C4" s="23" t="s">
        <x:v>1048</x:v>
      </x:c>
      <x:c r="D4" s="23" t="s">
        <x:v>899</x:v>
      </x:c>
      <x:c r="E4" s="23" t="s">
        <x:v>1049</x:v>
      </x:c>
      <x:c r="F4" s="23" t="s">
        <x:v>1050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1.75" customHeight="1">
      <x:c r="A5" s="40" t="s">
        <x:v>271</x:v>
      </x:c>
      <x:c r="B5" s="26" t="s">
        <x:v>272</x:v>
      </x:c>
      <x:c r="C5" s="26" t="s">
        <x:v>831</x:v>
      </x:c>
      <x:c r="D5" s="26" t="s">
        <x:v>1051</x:v>
      </x:c>
      <x:c r="E5" s="26" t="s">
        <x:v>1052</x:v>
      </x:c>
      <x:c r="F5" s="26" t="s">
        <x:v>1053</x:v>
      </x:c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1.75" customHeight="1">
      <x:c r="A6" s="41" t="s">
        <x:v>277</x:v>
      </x:c>
      <x:c r="B6" s="23" t="s">
        <x:v>278</x:v>
      </x:c>
      <x:c r="C6" s="23" t="s">
        <x:v>1054</x:v>
      </x:c>
      <x:c r="D6" s="23" t="s">
        <x:v>1051</x:v>
      </x:c>
      <x:c r="E6" s="23" t="s">
        <x:v>1055</x:v>
      </x:c>
      <x:c r="F6" s="23" t="s">
        <x:v>1056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1.75" customHeight="1">
      <x:c r="A7" s="40" t="s">
        <x:v>397</x:v>
      </x:c>
      <x:c r="B7" s="26" t="s">
        <x:v>252</x:v>
      </x:c>
      <x:c r="C7" s="26" t="s">
        <x:v>1057</x:v>
      </x:c>
      <x:c r="D7" s="26" t="s">
        <x:v>376</x:v>
      </x:c>
      <x:c r="E7" s="26" t="s">
        <x:v>1058</x:v>
      </x:c>
      <x:c r="F7" s="26" t="s">
        <x:v>1059</x:v>
      </x:c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1.75" customHeight="1">
      <x:c r="A8" s="41" t="s">
        <x:v>323</x:v>
      </x:c>
      <x:c r="B8" s="23" t="s">
        <x:v>272</x:v>
      </x:c>
      <x:c r="C8" s="23" t="s">
        <x:v>1060</x:v>
      </x:c>
      <x:c r="D8" s="23" t="s">
        <x:v>1061</x:v>
      </x:c>
      <x:c r="E8" s="23" t="s">
        <x:v>1062</x:v>
      </x:c>
      <x:c r="F8" s="23" t="s">
        <x:v>1063</x:v>
      </x:c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1.75" customHeight="1">
      <x:c r="A9" s="40" t="s">
        <x:v>251</x:v>
      </x:c>
      <x:c r="B9" s="26" t="s">
        <x:v>252</x:v>
      </x:c>
      <x:c r="C9" s="26" t="s">
        <x:v>1064</x:v>
      </x:c>
      <x:c r="D9" s="26" t="s">
        <x:v>1065</x:v>
      </x:c>
      <x:c r="E9" s="26" t="s">
        <x:v>1065</x:v>
      </x:c>
      <x:c r="F9" s="26" t="s">
        <x:v>1066</x:v>
      </x:c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21.75" customHeight="1">
      <x:c r="A10" s="41" t="s">
        <x:v>639</x:v>
      </x:c>
      <x:c r="B10" s="23" t="s">
        <x:v>272</x:v>
      </x:c>
      <x:c r="C10" s="23" t="s">
        <x:v>1067</x:v>
      </x:c>
      <x:c r="D10" s="23" t="s">
        <x:v>1068</x:v>
      </x:c>
      <x:c r="E10" s="23" t="s">
        <x:v>896</x:v>
      </x:c>
      <x:c r="F10" s="23" t="s">
        <x:v>1069</x:v>
      </x:c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21.75" customHeight="1">
      <x:c r="A11" s="40" t="s">
        <x:v>327</x:v>
      </x:c>
      <x:c r="B11" s="26" t="s">
        <x:v>252</x:v>
      </x:c>
      <x:c r="C11" s="26" t="s">
        <x:v>1070</x:v>
      </x:c>
      <x:c r="D11" s="26" t="s">
        <x:v>1061</x:v>
      </x:c>
      <x:c r="E11" s="26" t="s">
        <x:v>1062</x:v>
      </x:c>
      <x:c r="F11" s="26" t="s">
        <x:v>839</x:v>
      </x:c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21.75" customHeight="1">
      <x:c r="A12" s="41" t="s">
        <x:v>354</x:v>
      </x:c>
      <x:c r="B12" s="23" t="s">
        <x:v>252</x:v>
      </x:c>
      <x:c r="C12" s="23" t="s">
        <x:v>593</x:v>
      </x:c>
      <x:c r="D12" s="23" t="s">
        <x:v>1071</x:v>
      </x:c>
      <x:c r="E12" s="23" t="s">
        <x:v>1072</x:v>
      </x:c>
      <x:c r="F12" s="23" t="s">
        <x:v>1073</x:v>
      </x:c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21.75" customHeight="1">
      <x:c r="A13" s="40" t="s">
        <x:v>643</x:v>
      </x:c>
      <x:c r="B13" s="26" t="s">
        <x:v>252</x:v>
      </x:c>
      <x:c r="C13" s="26" t="s">
        <x:v>644</x:v>
      </x:c>
      <x:c r="D13" s="26" t="s">
        <x:v>1074</x:v>
      </x:c>
      <x:c r="E13" s="26" t="s">
        <x:v>896</x:v>
      </x:c>
      <x:c r="F13" s="26" t="s">
        <x:v>714</x:v>
      </x:c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21.75" customHeight="1">
      <x:c r="A14" s="41" t="s">
        <x:v>377</x:v>
      </x:c>
      <x:c r="B14" s="23" t="s">
        <x:v>272</x:v>
      </x:c>
      <x:c r="C14" s="23" t="s">
        <x:v>1075</x:v>
      </x:c>
      <x:c r="D14" s="23" t="s">
        <x:v>1076</x:v>
      </x:c>
      <x:c r="E14" s="23" t="s">
        <x:v>1077</x:v>
      </x:c>
      <x:c r="F14" s="23" t="s">
        <x:v>1078</x:v>
      </x:c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21.75" customHeight="1">
      <x:c r="A15" s="40" t="s">
        <x:v>331</x:v>
      </x:c>
      <x:c r="B15" s="26" t="s">
        <x:v>252</x:v>
      </x:c>
      <x:c r="C15" s="26" t="s">
        <x:v>842</x:v>
      </x:c>
      <x:c r="D15" s="26" t="s">
        <x:v>892</x:v>
      </x:c>
      <x:c r="E15" s="26" t="s">
        <x:v>1062</x:v>
      </x:c>
      <x:c r="F15" s="26" t="s">
        <x:v>1079</x:v>
      </x:c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21.75" customHeight="1">
      <x:c r="A16" s="41" t="s">
        <x:v>382</x:v>
      </x:c>
      <x:c r="B16" s="23" t="s">
        <x:v>272</x:v>
      </x:c>
      <x:c r="C16" s="23" t="s">
        <x:v>1080</x:v>
      </x:c>
      <x:c r="D16" s="23" t="s">
        <x:v>1081</x:v>
      </x:c>
      <x:c r="E16" s="23" t="s">
        <x:v>1082</x:v>
      </x:c>
      <x:c r="F16" s="23" t="s">
        <x:v>1083</x:v>
      </x:c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21.75" customHeight="1">
      <x:c r="A17" s="40" t="s">
        <x:v>293</x:v>
      </x:c>
      <x:c r="B17" s="26" t="s">
        <x:v>252</x:v>
      </x:c>
      <x:c r="C17" s="26" t="s">
        <x:v>1084</x:v>
      </x:c>
      <x:c r="D17" s="26" t="s">
        <x:v>1085</x:v>
      </x:c>
      <x:c r="E17" s="26" t="s">
        <x:v>1086</x:v>
      </x:c>
      <x:c r="F17" s="26" t="s">
        <x:v>1087</x:v>
      </x:c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21.75" customHeight="1">
      <x:c r="A18" s="41" t="s">
        <x:v>658</x:v>
      </x:c>
      <x:c r="B18" s="23" t="s">
        <x:v>252</x:v>
      </x:c>
      <x:c r="C18" s="23" t="s">
        <x:v>1088</x:v>
      </x:c>
      <x:c r="D18" s="23" t="s">
        <x:v>1089</x:v>
      </x:c>
      <x:c r="E18" s="23" t="s">
        <x:v>1090</x:v>
      </x:c>
      <x:c r="F18" s="23" t="s">
        <x:v>1091</x:v>
      </x:c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21.75" customHeight="1">
      <x:c r="A19" s="40" t="s">
        <x:v>312</x:v>
      </x:c>
      <x:c r="B19" s="26" t="s">
        <x:v>252</x:v>
      </x:c>
      <x:c r="C19" s="26" t="s">
        <x:v>1092</x:v>
      </x:c>
      <x:c r="D19" s="26" t="s">
        <x:v>623</x:v>
      </x:c>
      <x:c r="E19" s="26" t="s">
        <x:v>286</x:v>
      </x:c>
      <x:c r="F19" s="26" t="s">
        <x:v>1093</x:v>
      </x:c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21.75" customHeight="1">
      <x:c r="A20" s="41" t="s">
        <x:v>631</x:v>
      </x:c>
      <x:c r="B20" s="23" t="s">
        <x:v>252</x:v>
      </x:c>
      <x:c r="C20" s="23" t="s">
        <x:v>632</x:v>
      </x:c>
      <x:c r="D20" s="23" t="s">
        <x:v>1094</x:v>
      </x:c>
      <x:c r="E20" s="23" t="s">
        <x:v>1095</x:v>
      </x:c>
      <x:c r="F20" s="23" t="s">
        <x:v>1096</x:v>
      </x:c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21.75" customHeight="1">
      <x:c r="A21" s="40" t="s">
        <x:v>682</x:v>
      </x:c>
      <x:c r="B21" s="26" t="s">
        <x:v>252</x:v>
      </x:c>
      <x:c r="C21" s="26" t="s">
        <x:v>1097</x:v>
      </x:c>
      <x:c r="D21" s="26" t="s">
        <x:v>1098</x:v>
      </x:c>
      <x:c r="E21" s="26" t="s">
        <x:v>1090</x:v>
      </x:c>
      <x:c r="F21" s="26" t="s">
        <x:v>1099</x:v>
      </x:c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21.75" customHeight="1">
      <x:c r="A22" s="41" t="s">
        <x:v>1100</x:v>
      </x:c>
      <x:c r="B22" s="23" t="s">
        <x:v>252</x:v>
      </x:c>
      <x:c r="C22" s="23" t="s">
        <x:v>1101</x:v>
      </x:c>
      <x:c r="D22" s="23" t="s">
        <x:v>1102</x:v>
      </x:c>
      <x:c r="E22" s="23" t="s">
        <x:v>47</x:v>
      </x:c>
      <x:c r="F22" s="23" t="s">
        <x:v>1103</x:v>
      </x:c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21.75" customHeight="1">
      <x:c r="A23" s="40" t="s">
        <x:v>689</x:v>
      </x:c>
      <x:c r="B23" s="26" t="s">
        <x:v>252</x:v>
      </x:c>
      <x:c r="C23" s="26" t="s">
        <x:v>1104</x:v>
      </x:c>
      <x:c r="D23" s="26" t="s">
        <x:v>1098</x:v>
      </x:c>
      <x:c r="E23" s="26" t="s">
        <x:v>1090</x:v>
      </x:c>
      <x:c r="F23" s="26" t="s">
        <x:v>1105</x:v>
      </x:c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21.75" customHeight="1">
      <x:c r="A24" s="41" t="s">
        <x:v>338</x:v>
      </x:c>
      <x:c r="B24" s="23" t="s">
        <x:v>252</x:v>
      </x:c>
      <x:c r="C24" s="23" t="s">
        <x:v>1106</x:v>
      </x:c>
      <x:c r="D24" s="23" t="s">
        <x:v>892</x:v>
      </x:c>
      <x:c r="E24" s="23" t="s">
        <x:v>36</x:v>
      </x:c>
      <x:c r="F24" s="23" t="s">
        <x:v>1107</x:v>
      </x:c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21.75" customHeight="1">
      <x:c r="A25" s="40" t="s">
        <x:v>309</x:v>
      </x:c>
      <x:c r="B25" s="26" t="s">
        <x:v>252</x:v>
      </x:c>
      <x:c r="C25" s="26" t="s">
        <x:v>1108</x:v>
      </x:c>
      <x:c r="D25" s="26" t="s">
        <x:v>1109</x:v>
      </x:c>
      <x:c r="E25" s="26" t="s">
        <x:v>1110</x:v>
      </x:c>
      <x:c r="F25" s="26" t="s">
        <x:v>1111</x:v>
      </x:c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21.75" customHeight="1">
      <x:c r="A26" s="41" t="s">
        <x:v>305</x:v>
      </x:c>
      <x:c r="B26" s="23" t="s">
        <x:v>252</x:v>
      </x:c>
      <x:c r="C26" s="23" t="s">
        <x:v>1108</x:v>
      </x:c>
      <x:c r="D26" s="23" t="s">
        <x:v>1109</x:v>
      </x:c>
      <x:c r="E26" s="23" t="s">
        <x:v>1110</x:v>
      </x:c>
      <x:c r="F26" s="23" t="s">
        <x:v>1111</x:v>
      </x:c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21.75" customHeight="1">
      <x:c r="A27" s="40" t="s">
        <x:v>301</x:v>
      </x:c>
      <x:c r="B27" s="26" t="s">
        <x:v>252</x:v>
      </x:c>
      <x:c r="C27" s="26" t="s">
        <x:v>1112</x:v>
      </x:c>
      <x:c r="D27" s="26" t="s">
        <x:v>1109</x:v>
      </x:c>
      <x:c r="E27" s="26" t="s">
        <x:v>1110</x:v>
      </x:c>
      <x:c r="F27" s="26" t="s">
        <x:v>1113</x:v>
      </x:c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21.75" customHeight="1">
      <x:c r="A28" s="41" t="s">
        <x:v>297</x:v>
      </x:c>
      <x:c r="B28" s="23" t="s">
        <x:v>252</x:v>
      </x:c>
      <x:c r="C28" s="23" t="s">
        <x:v>1114</x:v>
      </x:c>
      <x:c r="D28" s="23" t="s">
        <x:v>1109</x:v>
      </x:c>
      <x:c r="E28" s="23" t="s">
        <x:v>1110</x:v>
      </x:c>
      <x:c r="F28" s="23" t="s">
        <x:v>1115</x:v>
      </x:c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21.75" customHeight="1">
      <x:c r="A29" s="40" t="s">
        <x:v>720</x:v>
      </x:c>
      <x:c r="B29" s="26" t="s">
        <x:v>720</x:v>
      </x:c>
      <x:c r="C29" s="26" t="s">
        <x:v>1116</x:v>
      </x:c>
      <x:c r="D29" s="26" t="s">
        <x:v>1117</x:v>
      </x:c>
      <x:c r="E29" s="26" t="s">
        <x:v>1117</x:v>
      </x:c>
      <x:c r="F29" s="26" t="s">
        <x:v>1118</x:v>
      </x:c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21.75" customHeight="1">
      <x:c r="A30" s="41" t="s">
        <x:v>417</x:v>
      </x:c>
      <x:c r="B30" s="23" t="s">
        <x:v>252</x:v>
      </x:c>
      <x:c r="C30" s="23" t="s">
        <x:v>964</x:v>
      </x:c>
      <x:c r="D30" s="23" t="s">
        <x:v>1119</x:v>
      </x:c>
      <x:c r="E30" s="23" t="s">
        <x:v>1120</x:v>
      </x:c>
      <x:c r="F30" s="23" t="s">
        <x:v>1121</x:v>
      </x:c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21.75" customHeight="1">
      <x:c r="A31" s="40" t="s">
        <x:v>1122</x:v>
      </x:c>
      <x:c r="B31" s="26" t="s">
        <x:v>278</x:v>
      </x:c>
      <x:c r="C31" s="26" t="s">
        <x:v>1123</x:v>
      </x:c>
      <x:c r="D31" s="26" t="s">
        <x:v>1119</x:v>
      </x:c>
      <x:c r="E31" s="26" t="s">
        <x:v>1124</x:v>
      </x:c>
      <x:c r="F31" s="26" t="s">
        <x:v>1125</x:v>
      </x:c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21.75" customHeight="1">
      <x:c r="A32" s="41" t="s">
        <x:v>1126</x:v>
      </x:c>
      <x:c r="B32" s="23" t="s">
        <x:v>278</x:v>
      </x:c>
      <x:c r="C32" s="23" t="s">
        <x:v>1127</x:v>
      </x:c>
      <x:c r="D32" s="23" t="s">
        <x:v>453</x:v>
      </x:c>
      <x:c r="E32" s="23" t="s">
        <x:v>945</x:v>
      </x:c>
      <x:c r="F32" s="23" t="s">
        <x:v>1128</x:v>
      </x:c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21.75" customHeight="1">
      <x:c r="A33" s="40" t="s">
        <x:v>417</x:v>
      </x:c>
      <x:c r="B33" s="29" t="s">
        <x:v>252</x:v>
      </x:c>
      <x:c r="C33" s="29" t="s">
        <x:v>964</x:v>
      </x:c>
      <x:c r="D33" s="29" t="s">
        <x:v>1129</x:v>
      </x:c>
      <x:c r="E33" s="29" t="s">
        <x:v>1130</x:v>
      </x:c>
      <x:c r="F33" s="29" t="s">
        <x:v>1131</x:v>
      </x:c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21.75" customHeight="1">
      <x:c r="A34" s="41" t="s">
        <x:v>455</x:v>
      </x:c>
      <x:c r="B34" s="27" t="s">
        <x:v>278</x:v>
      </x:c>
      <x:c r="C34" s="27" t="s">
        <x:v>1132</x:v>
      </x:c>
      <x:c r="D34" s="27" t="s">
        <x:v>1133</x:v>
      </x:c>
      <x:c r="E34" s="27" t="s">
        <x:v>1134</x:v>
      </x:c>
      <x:c r="F34" s="27" t="s">
        <x:v>1135</x:v>
      </x:c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21.75" customHeight="1">
      <x:c r="A35" s="40" t="s">
        <x:v>1122</x:v>
      </x:c>
      <x:c r="B35" s="29" t="s">
        <x:v>278</x:v>
      </x:c>
      <x:c r="C35" s="29" t="s">
        <x:v>1123</x:v>
      </x:c>
      <x:c r="D35" s="29" t="s">
        <x:v>1136</x:v>
      </x:c>
      <x:c r="E35" s="29" t="s">
        <x:v>1137</x:v>
      </x:c>
      <x:c r="F35" s="29" t="s">
        <x:v>1125</x:v>
      </x:c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21.75" customHeight="1">
      <x:c r="A36" s="33" t="s">
        <x:v>517</x:v>
      </x:c>
      <x:c r="B36" s="42" t="s">
        <x:v>252</x:v>
      </x:c>
      <x:c r="C36" s="42" t="s">
        <x:v>1138</x:v>
      </x:c>
      <x:c r="D36" s="42" t="s">
        <x:v>511</x:v>
      </x:c>
      <x:c r="E36" s="42" t="s">
        <x:v>512</x:v>
      </x:c>
      <x:c r="F36" s="42" t="s">
        <x:v>1139</x:v>
      </x:c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21.75" customHeight="1">
      <x:c r="A37" s="43" t="s">
        <x:v>1140</x:v>
      </x:c>
      <x:c r="B37" s="26" t="s">
        <x:v>252</x:v>
      </x:c>
      <x:c r="C37" s="26" t="s">
        <x:v>1141</x:v>
      </x:c>
      <x:c r="D37" s="26" t="s">
        <x:v>511</x:v>
      </x:c>
      <x:c r="E37" s="26" t="s">
        <x:v>512</x:v>
      </x:c>
      <x:c r="F37" s="26" t="s">
        <x:v>1142</x:v>
      </x:c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21.75" customHeight="1">
      <x:c r="A38" s="44" t="s">
        <x:v>1143</x:v>
      </x:c>
      <x:c r="B38" s="23" t="s">
        <x:v>252</x:v>
      </x:c>
      <x:c r="C38" s="23" t="s">
        <x:v>1144</x:v>
      </x:c>
      <x:c r="D38" s="23" t="s">
        <x:v>1145</x:v>
      </x:c>
      <x:c r="E38" s="23" t="s">
        <x:v>1146</x:v>
      </x:c>
      <x:c r="F38" s="23" t="s">
        <x:v>1147</x:v>
      </x:c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24" customHeight="1">
      <x:c r="A39" s="35" t="s">
        <x:v>505</x:v>
      </x:c>
      <x:c r="B39" s="35" t="s">
        <x:v>278</x:v>
      </x:c>
      <x:c r="C39" s="38" t="s">
        <x:v>1148</x:v>
      </x:c>
      <x:c r="D39" s="38" t="s">
        <x:v>1149</x:v>
      </x:c>
      <x:c r="E39" s="38" t="s">
        <x:v>1150</x:v>
      </x:c>
      <x:c r="F39" s="38" t="s">
        <x:v>1151</x:v>
      </x:c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24" customHeight="1">
      <x:c r="A40" s="35" t="s">
        <x:v>545</x:v>
      </x:c>
      <x:c r="B40" s="35" t="s">
        <x:v>252</x:v>
      </x:c>
      <x:c r="C40" s="38" t="s">
        <x:v>1152</x:v>
      </x:c>
      <x:c r="D40" s="38" t="s">
        <x:v>1153</x:v>
      </x:c>
      <x:c r="E40" s="38" t="s">
        <x:v>1154</x:v>
      </x:c>
      <x:c r="F40" s="38" t="s">
        <x:v>1155</x:v>
      </x:c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24" customHeight="1">
      <x:c r="A41" s="35" t="s">
        <x:v>567</x:v>
      </x:c>
      <x:c r="B41" s="35" t="s">
        <x:v>252</x:v>
      </x:c>
      <x:c r="C41" s="38" t="s">
        <x:v>1156</x:v>
      </x:c>
      <x:c r="D41" s="38" t="s">
        <x:v>1157</x:v>
      </x:c>
      <x:c r="E41" s="38" t="s">
        <x:v>1158</x:v>
      </x:c>
      <x:c r="F41" s="38" t="s">
        <x:v>1159</x:v>
      </x:c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24" customHeight="1">
      <x:c r="A42" s="35" t="s">
        <x:v>517</x:v>
      </x:c>
      <x:c r="B42" s="35" t="s">
        <x:v>252</x:v>
      </x:c>
      <x:c r="C42" s="38" t="s">
        <x:v>1160</x:v>
      </x:c>
      <x:c r="D42" s="38" t="s">
        <x:v>511</x:v>
      </x:c>
      <x:c r="E42" s="38" t="s">
        <x:v>1161</x:v>
      </x:c>
      <x:c r="F42" s="38" t="s">
        <x:v>1162</x:v>
      </x:c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4" customHeight="1">
      <x:c r="A43" s="40" t="s">
        <x:v>1143</x:v>
      </x:c>
      <x:c r="B43" s="45" t="s">
        <x:v>252</x:v>
      </x:c>
      <x:c r="C43" s="26" t="s">
        <x:v>1163</x:v>
      </x:c>
      <x:c r="D43" s="26" t="s">
        <x:v>1164</x:v>
      </x:c>
      <x:c r="E43" s="26" t="s">
        <x:v>1165</x:v>
      </x:c>
      <x:c r="F43" s="26" t="s">
        <x:v>1166</x:v>
      </x:c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5.75" customHeight="1">
      <x:c r="A44" s="40" t="s">
        <x:v>598</x:v>
      </x:c>
      <x:c r="B44" s="45" t="s">
        <x:v>252</x:v>
      </x:c>
      <x:c r="C44" s="26" t="s">
        <x:v>599</x:v>
      </x:c>
      <x:c r="D44" s="26" t="s">
        <x:v>581</x:v>
      </x:c>
      <x:c r="E44" s="26" t="s">
        <x:v>592</x:v>
      </x:c>
      <x:c r="F44" s="26" t="s">
        <x:v>1167</x:v>
      </x:c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5.75" customHeight="1">
      <x:c r="A45" s="40" t="s">
        <x:v>603</x:v>
      </x:c>
      <x:c r="B45" s="45" t="s">
        <x:v>252</x:v>
      </x:c>
      <x:c r="C45" s="26" t="s">
        <x:v>1168</x:v>
      </x:c>
      <x:c r="D45" s="26" t="s">
        <x:v>581</x:v>
      </x:c>
      <x:c r="E45" s="26" t="s">
        <x:v>592</x:v>
      </x:c>
      <x:c r="F45" s="26" t="s">
        <x:v>1169</x:v>
      </x:c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5.75" customHeight="1">
      <x:c r="A46" s="40" t="s">
        <x:v>608</x:v>
      </x:c>
      <x:c r="B46" s="45" t="s">
        <x:v>252</x:v>
      </x:c>
      <x:c r="C46" s="26" t="s">
        <x:v>1170</x:v>
      </x:c>
      <x:c r="D46" s="26" t="s">
        <x:v>581</x:v>
      </x:c>
      <x:c r="E46" s="26" t="s">
        <x:v>592</x:v>
      </x:c>
      <x:c r="F46" s="26" t="s">
        <x:v>1171</x:v>
      </x:c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5.75" customHeight="1">
      <x:c r="A47" s="13"/>
      <x:c r="B47" s="13"/>
      <x:c r="C47" s="13"/>
      <x:c r="D47" s="13"/>
      <x:c r="E47" s="13"/>
      <x:c r="F47" s="13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5.75" customHeight="1">
      <x:c r="A48" s="13"/>
      <x:c r="B48" s="13"/>
      <x:c r="C48" s="13"/>
      <x:c r="D48" s="13"/>
      <x:c r="E48" s="13"/>
      <x:c r="F48" s="13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5.75" customHeight="1">
      <x:c r="A49" s="13"/>
      <x:c r="B49" s="13"/>
      <x:c r="C49" s="13"/>
      <x:c r="D49" s="13"/>
      <x:c r="E49" s="13"/>
      <x:c r="F49" s="13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5.75" customHeight="1">
      <x:c r="A50" s="13"/>
      <x:c r="B50" s="13"/>
      <x:c r="C50" s="13"/>
      <x:c r="D50" s="13"/>
      <x:c r="E50" s="13"/>
      <x:c r="F50" s="13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5.75" customHeight="1">
      <x:c r="A51" s="13"/>
      <x:c r="B51" s="13"/>
      <x:c r="C51" s="13"/>
      <x:c r="D51" s="13"/>
      <x:c r="E51" s="13"/>
      <x:c r="F51" s="13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5.75" customHeight="1">
      <x:c r="A52" s="13"/>
      <x:c r="B52" s="13"/>
      <x:c r="C52" s="13"/>
      <x:c r="D52" s="13"/>
      <x:c r="E52" s="13"/>
      <x:c r="F52" s="13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5.75" customHeight="1">
      <x:c r="A53" s="13"/>
      <x:c r="B53" s="13"/>
      <x:c r="C53" s="13"/>
      <x:c r="D53" s="13"/>
      <x:c r="E53" s="13"/>
      <x:c r="F53" s="13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5.75" customHeight="1">
      <x:c r="A54" s="13"/>
      <x:c r="B54" s="13"/>
      <x:c r="C54" s="13"/>
      <x:c r="D54" s="13"/>
      <x:c r="E54" s="13"/>
      <x:c r="F54" s="13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5.75" customHeight="1">
      <x:c r="A55" s="13"/>
      <x:c r="B55" s="13"/>
      <x:c r="C55" s="13"/>
      <x:c r="D55" s="13"/>
      <x:c r="E55" s="13"/>
      <x:c r="F55" s="13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5.75" customHeight="1">
      <x:c r="A56" s="13"/>
      <x:c r="B56" s="13"/>
      <x:c r="C56" s="13"/>
      <x:c r="D56" s="13"/>
      <x:c r="E56" s="13"/>
      <x:c r="F56" s="13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5.75" customHeight="1">
      <x:c r="A57" s="13"/>
      <x:c r="B57" s="13"/>
      <x:c r="C57" s="13"/>
      <x:c r="D57" s="13"/>
      <x:c r="E57" s="13"/>
      <x:c r="F57" s="13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5.75" customHeight="1">
      <x:c r="A58" s="13"/>
      <x:c r="B58" s="13"/>
      <x:c r="C58" s="13"/>
      <x:c r="D58" s="13"/>
      <x:c r="E58" s="13"/>
      <x:c r="F58" s="13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5.75" customHeight="1">
      <x:c r="A59" s="13"/>
      <x:c r="B59" s="13"/>
      <x:c r="C59" s="13"/>
      <x:c r="D59" s="13"/>
      <x:c r="E59" s="13"/>
      <x:c r="F59" s="13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13"/>
      <x:c r="B60" s="13"/>
      <x:c r="C60" s="13"/>
      <x:c r="D60" s="13"/>
      <x:c r="E60" s="13"/>
      <x:c r="F60" s="13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13"/>
      <x:c r="B61" s="13"/>
      <x:c r="C61" s="13"/>
      <x:c r="D61" s="13"/>
      <x:c r="E61" s="13"/>
      <x:c r="F61" s="13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13"/>
      <x:c r="B62" s="13"/>
      <x:c r="C62" s="13"/>
      <x:c r="D62" s="13"/>
      <x:c r="E62" s="13"/>
      <x:c r="F62" s="13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13"/>
      <x:c r="B63" s="13"/>
      <x:c r="C63" s="13"/>
      <x:c r="D63" s="13"/>
      <x:c r="E63" s="13"/>
      <x:c r="F63" s="13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13"/>
      <x:c r="B64" s="13"/>
      <x:c r="C64" s="13"/>
      <x:c r="D64" s="13"/>
      <x:c r="E64" s="13"/>
      <x:c r="F64" s="13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13"/>
      <x:c r="B65" s="13"/>
      <x:c r="C65" s="13"/>
      <x:c r="D65" s="13"/>
      <x:c r="E65" s="13"/>
      <x:c r="F65" s="13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13"/>
      <x:c r="B66" s="13"/>
      <x:c r="C66" s="13"/>
      <x:c r="D66" s="13"/>
      <x:c r="E66" s="13"/>
      <x:c r="F66" s="13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13"/>
      <x:c r="B67" s="13"/>
      <x:c r="C67" s="13"/>
      <x:c r="D67" s="13"/>
      <x:c r="E67" s="13"/>
      <x:c r="F67" s="13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13"/>
      <x:c r="B68" s="13"/>
      <x:c r="C68" s="13"/>
      <x:c r="D68" s="13"/>
      <x:c r="E68" s="13"/>
      <x:c r="F68" s="13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13"/>
      <x:c r="B69" s="13"/>
      <x:c r="C69" s="13"/>
      <x:c r="D69" s="13"/>
      <x:c r="E69" s="13"/>
      <x:c r="F69" s="13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13"/>
      <x:c r="B70" s="13"/>
      <x:c r="C70" s="13"/>
      <x:c r="D70" s="13"/>
      <x:c r="E70" s="13"/>
      <x:c r="F70" s="13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13"/>
      <x:c r="B71" s="13"/>
      <x:c r="C71" s="13"/>
      <x:c r="D71" s="13"/>
      <x:c r="E71" s="13"/>
      <x:c r="F71" s="13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13"/>
      <x:c r="B72" s="13"/>
      <x:c r="C72" s="13"/>
      <x:c r="D72" s="13"/>
      <x:c r="E72" s="13"/>
      <x:c r="F72" s="13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13"/>
      <x:c r="B73" s="13"/>
      <x:c r="C73" s="13"/>
      <x:c r="D73" s="13"/>
      <x:c r="E73" s="13"/>
      <x:c r="F73" s="13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13"/>
      <x:c r="B74" s="13"/>
      <x:c r="C74" s="13"/>
      <x:c r="D74" s="13"/>
      <x:c r="E74" s="13"/>
      <x:c r="F74" s="13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13"/>
      <x:c r="B75" s="13"/>
      <x:c r="C75" s="13"/>
      <x:c r="D75" s="13"/>
      <x:c r="E75" s="13"/>
      <x:c r="F75" s="13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13"/>
      <x:c r="B76" s="13"/>
      <x:c r="C76" s="13"/>
      <x:c r="D76" s="13"/>
      <x:c r="E76" s="13"/>
      <x:c r="F76" s="13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13"/>
      <x:c r="B77" s="13"/>
      <x:c r="C77" s="13"/>
      <x:c r="D77" s="13"/>
      <x:c r="E77" s="13"/>
      <x:c r="F77" s="13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13"/>
      <x:c r="B78" s="13"/>
      <x:c r="C78" s="13"/>
      <x:c r="D78" s="13"/>
      <x:c r="E78" s="13"/>
      <x:c r="F78" s="13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13"/>
      <x:c r="B79" s="13"/>
      <x:c r="C79" s="13"/>
      <x:c r="D79" s="13"/>
      <x:c r="E79" s="13"/>
      <x:c r="F79" s="13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13"/>
      <x:c r="B80" s="13"/>
      <x:c r="C80" s="13"/>
      <x:c r="D80" s="13"/>
      <x:c r="E80" s="13"/>
      <x:c r="F80" s="13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13"/>
      <x:c r="B81" s="13"/>
      <x:c r="C81" s="13"/>
      <x:c r="D81" s="13"/>
      <x:c r="E81" s="13"/>
      <x:c r="F81" s="13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13"/>
      <x:c r="B82" s="13"/>
      <x:c r="C82" s="13"/>
      <x:c r="D82" s="13"/>
      <x:c r="E82" s="13"/>
      <x:c r="F82" s="13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13"/>
      <x:c r="B83" s="13"/>
      <x:c r="C83" s="13"/>
      <x:c r="D83" s="13"/>
      <x:c r="E83" s="13"/>
      <x:c r="F83" s="13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13"/>
      <x:c r="B84" s="13"/>
      <x:c r="C84" s="13"/>
      <x:c r="D84" s="13"/>
      <x:c r="E84" s="13"/>
      <x:c r="F84" s="13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13"/>
      <x:c r="B85" s="13"/>
      <x:c r="C85" s="13"/>
      <x:c r="D85" s="13"/>
      <x:c r="E85" s="13"/>
      <x:c r="F85" s="13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13"/>
      <x:c r="B86" s="13"/>
      <x:c r="C86" s="13"/>
      <x:c r="D86" s="13"/>
      <x:c r="E86" s="13"/>
      <x:c r="F86" s="13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13"/>
      <x:c r="B87" s="13"/>
      <x:c r="C87" s="13"/>
      <x:c r="D87" s="13"/>
      <x:c r="E87" s="13"/>
      <x:c r="F87" s="13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13"/>
      <x:c r="B88" s="13"/>
      <x:c r="C88" s="13"/>
      <x:c r="D88" s="13"/>
      <x:c r="E88" s="13"/>
      <x:c r="F88" s="13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13"/>
      <x:c r="B89" s="13"/>
      <x:c r="C89" s="13"/>
      <x:c r="D89" s="13"/>
      <x:c r="E89" s="13"/>
      <x:c r="F89" s="13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13"/>
      <x:c r="B90" s="13"/>
      <x:c r="C90" s="13"/>
      <x:c r="D90" s="13"/>
      <x:c r="E90" s="13"/>
      <x:c r="F90" s="13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13"/>
      <x:c r="B91" s="13"/>
      <x:c r="C91" s="13"/>
      <x:c r="D91" s="13"/>
      <x:c r="E91" s="13"/>
      <x:c r="F91" s="13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13"/>
      <x:c r="B92" s="13"/>
      <x:c r="C92" s="13"/>
      <x:c r="D92" s="13"/>
      <x:c r="E92" s="13"/>
      <x:c r="F92" s="13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13"/>
      <x:c r="B93" s="13"/>
      <x:c r="C93" s="13"/>
      <x:c r="D93" s="13"/>
      <x:c r="E93" s="13"/>
      <x:c r="F93" s="13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13"/>
      <x:c r="B94" s="13"/>
      <x:c r="C94" s="13"/>
      <x:c r="D94" s="13"/>
      <x:c r="E94" s="13"/>
      <x:c r="F94" s="13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13"/>
      <x:c r="B95" s="13"/>
      <x:c r="C95" s="13"/>
      <x:c r="D95" s="13"/>
      <x:c r="E95" s="13"/>
      <x:c r="F95" s="13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13"/>
      <x:c r="B96" s="13"/>
      <x:c r="C96" s="13"/>
      <x:c r="D96" s="13"/>
      <x:c r="E96" s="13"/>
      <x:c r="F96" s="13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13"/>
      <x:c r="B97" s="13"/>
      <x:c r="C97" s="13"/>
      <x:c r="D97" s="13"/>
      <x:c r="E97" s="13"/>
      <x:c r="F97" s="13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13"/>
      <x:c r="B98" s="13"/>
      <x:c r="C98" s="13"/>
      <x:c r="D98" s="13"/>
      <x:c r="E98" s="13"/>
      <x:c r="F98" s="13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13"/>
      <x:c r="B99" s="13"/>
      <x:c r="C99" s="13"/>
      <x:c r="D99" s="13"/>
      <x:c r="E99" s="13"/>
      <x:c r="F99" s="13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13"/>
      <x:c r="B100" s="13"/>
      <x:c r="C100" s="13"/>
      <x:c r="D100" s="13"/>
      <x:c r="E100" s="13"/>
      <x:c r="F100" s="13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13"/>
      <x:c r="B101" s="13"/>
      <x:c r="C101" s="13"/>
      <x:c r="D101" s="13"/>
      <x:c r="E101" s="13"/>
      <x:c r="F101" s="13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13"/>
      <x:c r="B102" s="13"/>
      <x:c r="C102" s="13"/>
      <x:c r="D102" s="13"/>
      <x:c r="E102" s="13"/>
      <x:c r="F102" s="13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13"/>
      <x:c r="B103" s="13"/>
      <x:c r="C103" s="13"/>
      <x:c r="D103" s="13"/>
      <x:c r="E103" s="13"/>
      <x:c r="F103" s="13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13"/>
      <x:c r="B104" s="13"/>
      <x:c r="C104" s="13"/>
      <x:c r="D104" s="13"/>
      <x:c r="E104" s="13"/>
      <x:c r="F104" s="13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13"/>
      <x:c r="B105" s="13"/>
      <x:c r="C105" s="13"/>
      <x:c r="D105" s="13"/>
      <x:c r="E105" s="13"/>
      <x:c r="F105" s="13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13"/>
      <x:c r="B106" s="13"/>
      <x:c r="C106" s="13"/>
      <x:c r="D106" s="13"/>
      <x:c r="E106" s="13"/>
      <x:c r="F106" s="13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13"/>
      <x:c r="B107" s="13"/>
      <x:c r="C107" s="13"/>
      <x:c r="D107" s="13"/>
      <x:c r="E107" s="13"/>
      <x:c r="F107" s="13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13"/>
      <x:c r="B108" s="13"/>
      <x:c r="C108" s="13"/>
      <x:c r="D108" s="13"/>
      <x:c r="E108" s="13"/>
      <x:c r="F108" s="13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13"/>
      <x:c r="B109" s="13"/>
      <x:c r="C109" s="13"/>
      <x:c r="D109" s="13"/>
      <x:c r="E109" s="13"/>
      <x:c r="F109" s="13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13"/>
      <x:c r="B110" s="13"/>
      <x:c r="C110" s="13"/>
      <x:c r="D110" s="13"/>
      <x:c r="E110" s="13"/>
      <x:c r="F110" s="13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13"/>
      <x:c r="B111" s="13"/>
      <x:c r="C111" s="13"/>
      <x:c r="D111" s="13"/>
      <x:c r="E111" s="13"/>
      <x:c r="F111" s="13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13"/>
      <x:c r="B112" s="13"/>
      <x:c r="C112" s="13"/>
      <x:c r="D112" s="13"/>
      <x:c r="E112" s="13"/>
      <x:c r="F112" s="13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13"/>
      <x:c r="B113" s="13"/>
      <x:c r="C113" s="13"/>
      <x:c r="D113" s="13"/>
      <x:c r="E113" s="13"/>
      <x:c r="F113" s="13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13"/>
      <x:c r="B114" s="13"/>
      <x:c r="C114" s="13"/>
      <x:c r="D114" s="13"/>
      <x:c r="E114" s="13"/>
      <x:c r="F114" s="13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13"/>
      <x:c r="B115" s="13"/>
      <x:c r="C115" s="13"/>
      <x:c r="D115" s="13"/>
      <x:c r="E115" s="13"/>
      <x:c r="F115" s="13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13"/>
      <x:c r="B116" s="13"/>
      <x:c r="C116" s="13"/>
      <x:c r="D116" s="13"/>
      <x:c r="E116" s="13"/>
      <x:c r="F116" s="13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13"/>
      <x:c r="B117" s="13"/>
      <x:c r="C117" s="13"/>
      <x:c r="D117" s="13"/>
      <x:c r="E117" s="13"/>
      <x:c r="F117" s="13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13"/>
      <x:c r="B118" s="13"/>
      <x:c r="C118" s="13"/>
      <x:c r="D118" s="13"/>
      <x:c r="E118" s="13"/>
      <x:c r="F118" s="13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13"/>
      <x:c r="B119" s="13"/>
      <x:c r="C119" s="13"/>
      <x:c r="D119" s="13"/>
      <x:c r="E119" s="13"/>
      <x:c r="F119" s="13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13"/>
      <x:c r="B120" s="13"/>
      <x:c r="C120" s="13"/>
      <x:c r="D120" s="13"/>
      <x:c r="E120" s="13"/>
      <x:c r="F120" s="13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13"/>
      <x:c r="B121" s="13"/>
      <x:c r="C121" s="13"/>
      <x:c r="D121" s="13"/>
      <x:c r="E121" s="13"/>
      <x:c r="F121" s="13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13"/>
      <x:c r="B122" s="13"/>
      <x:c r="C122" s="13"/>
      <x:c r="D122" s="13"/>
      <x:c r="E122" s="13"/>
      <x:c r="F122" s="13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13"/>
      <x:c r="B123" s="13"/>
      <x:c r="C123" s="13"/>
      <x:c r="D123" s="13"/>
      <x:c r="E123" s="13"/>
      <x:c r="F123" s="13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13"/>
      <x:c r="B124" s="13"/>
      <x:c r="C124" s="13"/>
      <x:c r="D124" s="13"/>
      <x:c r="E124" s="13"/>
      <x:c r="F124" s="13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13"/>
      <x:c r="B125" s="13"/>
      <x:c r="C125" s="13"/>
      <x:c r="D125" s="13"/>
      <x:c r="E125" s="13"/>
      <x:c r="F125" s="13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13"/>
      <x:c r="B126" s="13"/>
      <x:c r="C126" s="13"/>
      <x:c r="D126" s="13"/>
      <x:c r="E126" s="13"/>
      <x:c r="F126" s="13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13"/>
      <x:c r="B127" s="13"/>
      <x:c r="C127" s="13"/>
      <x:c r="D127" s="13"/>
      <x:c r="E127" s="13"/>
      <x:c r="F127" s="13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13"/>
      <x:c r="B128" s="13"/>
      <x:c r="C128" s="13"/>
      <x:c r="D128" s="13"/>
      <x:c r="E128" s="13"/>
      <x:c r="F128" s="13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13"/>
      <x:c r="B129" s="13"/>
      <x:c r="C129" s="13"/>
      <x:c r="D129" s="13"/>
      <x:c r="E129" s="13"/>
      <x:c r="F129" s="13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13"/>
      <x:c r="B130" s="13"/>
      <x:c r="C130" s="13"/>
      <x:c r="D130" s="13"/>
      <x:c r="E130" s="13"/>
      <x:c r="F130" s="13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13"/>
      <x:c r="B131" s="13"/>
      <x:c r="C131" s="13"/>
      <x:c r="D131" s="13"/>
      <x:c r="E131" s="13"/>
      <x:c r="F131" s="13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13"/>
      <x:c r="B132" s="13"/>
      <x:c r="C132" s="13"/>
      <x:c r="D132" s="13"/>
      <x:c r="E132" s="13"/>
      <x:c r="F132" s="13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13"/>
      <x:c r="B133" s="13"/>
      <x:c r="C133" s="13"/>
      <x:c r="D133" s="13"/>
      <x:c r="E133" s="13"/>
      <x:c r="F133" s="13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13"/>
      <x:c r="B134" s="13"/>
      <x:c r="C134" s="13"/>
      <x:c r="D134" s="13"/>
      <x:c r="E134" s="13"/>
      <x:c r="F134" s="13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13"/>
      <x:c r="B135" s="13"/>
      <x:c r="C135" s="13"/>
      <x:c r="D135" s="13"/>
      <x:c r="E135" s="13"/>
      <x:c r="F135" s="13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13"/>
      <x:c r="B136" s="13"/>
      <x:c r="C136" s="13"/>
      <x:c r="D136" s="13"/>
      <x:c r="E136" s="13"/>
      <x:c r="F136" s="13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13"/>
      <x:c r="B137" s="13"/>
      <x:c r="C137" s="13"/>
      <x:c r="D137" s="13"/>
      <x:c r="E137" s="13"/>
      <x:c r="F137" s="13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13"/>
      <x:c r="B138" s="13"/>
      <x:c r="C138" s="13"/>
      <x:c r="D138" s="13"/>
      <x:c r="E138" s="13"/>
      <x:c r="F138" s="13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13"/>
      <x:c r="B139" s="13"/>
      <x:c r="C139" s="13"/>
      <x:c r="D139" s="13"/>
      <x:c r="E139" s="13"/>
      <x:c r="F139" s="13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13"/>
      <x:c r="B140" s="13"/>
      <x:c r="C140" s="13"/>
      <x:c r="D140" s="13"/>
      <x:c r="E140" s="13"/>
      <x:c r="F140" s="13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13"/>
      <x:c r="B141" s="13"/>
      <x:c r="C141" s="13"/>
      <x:c r="D141" s="13"/>
      <x:c r="E141" s="13"/>
      <x:c r="F141" s="13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13"/>
      <x:c r="B142" s="13"/>
      <x:c r="C142" s="13"/>
      <x:c r="D142" s="13"/>
      <x:c r="E142" s="13"/>
      <x:c r="F142" s="13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13"/>
      <x:c r="B143" s="13"/>
      <x:c r="C143" s="13"/>
      <x:c r="D143" s="13"/>
      <x:c r="E143" s="13"/>
      <x:c r="F143" s="13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13"/>
      <x:c r="B144" s="13"/>
      <x:c r="C144" s="13"/>
      <x:c r="D144" s="13"/>
      <x:c r="E144" s="13"/>
      <x:c r="F144" s="13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13"/>
      <x:c r="B145" s="13"/>
      <x:c r="C145" s="13"/>
      <x:c r="D145" s="13"/>
      <x:c r="E145" s="13"/>
      <x:c r="F145" s="13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13"/>
      <x:c r="B146" s="13"/>
      <x:c r="C146" s="13"/>
      <x:c r="D146" s="13"/>
      <x:c r="E146" s="13"/>
      <x:c r="F146" s="13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13"/>
      <x:c r="B147" s="13"/>
      <x:c r="C147" s="13"/>
      <x:c r="D147" s="13"/>
      <x:c r="E147" s="13"/>
      <x:c r="F147" s="13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13"/>
      <x:c r="B148" s="13"/>
      <x:c r="C148" s="13"/>
      <x:c r="D148" s="13"/>
      <x:c r="E148" s="13"/>
      <x:c r="F148" s="13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13"/>
      <x:c r="B149" s="13"/>
      <x:c r="C149" s="13"/>
      <x:c r="D149" s="13"/>
      <x:c r="E149" s="13"/>
      <x:c r="F149" s="13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13"/>
      <x:c r="B150" s="13"/>
      <x:c r="C150" s="13"/>
      <x:c r="D150" s="13"/>
      <x:c r="E150" s="13"/>
      <x:c r="F150" s="13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13"/>
      <x:c r="B151" s="13"/>
      <x:c r="C151" s="13"/>
      <x:c r="D151" s="13"/>
      <x:c r="E151" s="13"/>
      <x:c r="F151" s="13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13"/>
      <x:c r="B152" s="13"/>
      <x:c r="C152" s="13"/>
      <x:c r="D152" s="13"/>
      <x:c r="E152" s="13"/>
      <x:c r="F152" s="13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13"/>
      <x:c r="B153" s="13"/>
      <x:c r="C153" s="13"/>
      <x:c r="D153" s="13"/>
      <x:c r="E153" s="13"/>
      <x:c r="F153" s="13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13"/>
      <x:c r="B154" s="13"/>
      <x:c r="C154" s="13"/>
      <x:c r="D154" s="13"/>
      <x:c r="E154" s="13"/>
      <x:c r="F154" s="13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13"/>
      <x:c r="B155" s="13"/>
      <x:c r="C155" s="13"/>
      <x:c r="D155" s="13"/>
      <x:c r="E155" s="13"/>
      <x:c r="F155" s="13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13"/>
      <x:c r="B156" s="13"/>
      <x:c r="C156" s="13"/>
      <x:c r="D156" s="13"/>
      <x:c r="E156" s="13"/>
      <x:c r="F156" s="13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13"/>
      <x:c r="B157" s="13"/>
      <x:c r="C157" s="13"/>
      <x:c r="D157" s="13"/>
      <x:c r="E157" s="13"/>
      <x:c r="F157" s="13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13"/>
      <x:c r="B158" s="13"/>
      <x:c r="C158" s="13"/>
      <x:c r="D158" s="13"/>
      <x:c r="E158" s="13"/>
      <x:c r="F158" s="13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13"/>
      <x:c r="B159" s="13"/>
      <x:c r="C159" s="13"/>
      <x:c r="D159" s="13"/>
      <x:c r="E159" s="13"/>
      <x:c r="F159" s="13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13"/>
      <x:c r="B160" s="13"/>
      <x:c r="C160" s="13"/>
      <x:c r="D160" s="13"/>
      <x:c r="E160" s="13"/>
      <x:c r="F160" s="13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13"/>
      <x:c r="B161" s="13"/>
      <x:c r="C161" s="13"/>
      <x:c r="D161" s="13"/>
      <x:c r="E161" s="13"/>
      <x:c r="F161" s="13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13"/>
      <x:c r="B162" s="13"/>
      <x:c r="C162" s="13"/>
      <x:c r="D162" s="13"/>
      <x:c r="E162" s="13"/>
      <x:c r="F162" s="13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13"/>
      <x:c r="B163" s="13"/>
      <x:c r="C163" s="13"/>
      <x:c r="D163" s="13"/>
      <x:c r="E163" s="13"/>
      <x:c r="F163" s="13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13"/>
      <x:c r="B164" s="13"/>
      <x:c r="C164" s="13"/>
      <x:c r="D164" s="13"/>
      <x:c r="E164" s="13"/>
      <x:c r="F164" s="13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13"/>
      <x:c r="B165" s="13"/>
      <x:c r="C165" s="13"/>
      <x:c r="D165" s="13"/>
      <x:c r="E165" s="13"/>
      <x:c r="F165" s="13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13"/>
      <x:c r="B166" s="13"/>
      <x:c r="C166" s="13"/>
      <x:c r="D166" s="13"/>
      <x:c r="E166" s="13"/>
      <x:c r="F166" s="13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13"/>
      <x:c r="B167" s="13"/>
      <x:c r="C167" s="13"/>
      <x:c r="D167" s="13"/>
      <x:c r="E167" s="13"/>
      <x:c r="F167" s="13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13"/>
      <x:c r="B168" s="13"/>
      <x:c r="C168" s="13"/>
      <x:c r="D168" s="13"/>
      <x:c r="E168" s="13"/>
      <x:c r="F168" s="13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13"/>
      <x:c r="B169" s="13"/>
      <x:c r="C169" s="13"/>
      <x:c r="D169" s="13"/>
      <x:c r="E169" s="13"/>
      <x:c r="F169" s="13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13"/>
      <x:c r="B170" s="13"/>
      <x:c r="C170" s="13"/>
      <x:c r="D170" s="13"/>
      <x:c r="E170" s="13"/>
      <x:c r="F170" s="13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13"/>
      <x:c r="B171" s="13"/>
      <x:c r="C171" s="13"/>
      <x:c r="D171" s="13"/>
      <x:c r="E171" s="13"/>
      <x:c r="F171" s="13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13"/>
      <x:c r="B172" s="13"/>
      <x:c r="C172" s="13"/>
      <x:c r="D172" s="13"/>
      <x:c r="E172" s="13"/>
      <x:c r="F172" s="13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13"/>
      <x:c r="B173" s="13"/>
      <x:c r="C173" s="13"/>
      <x:c r="D173" s="13"/>
      <x:c r="E173" s="13"/>
      <x:c r="F173" s="13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13"/>
      <x:c r="B174" s="13"/>
      <x:c r="C174" s="13"/>
      <x:c r="D174" s="13"/>
      <x:c r="E174" s="13"/>
      <x:c r="F174" s="13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13"/>
      <x:c r="B175" s="13"/>
      <x:c r="C175" s="13"/>
      <x:c r="D175" s="13"/>
      <x:c r="E175" s="13"/>
      <x:c r="F175" s="13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13"/>
      <x:c r="B176" s="13"/>
      <x:c r="C176" s="13"/>
      <x:c r="D176" s="13"/>
      <x:c r="E176" s="13"/>
      <x:c r="F176" s="13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13"/>
      <x:c r="B177" s="13"/>
      <x:c r="C177" s="13"/>
      <x:c r="D177" s="13"/>
      <x:c r="E177" s="13"/>
      <x:c r="F177" s="13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13"/>
      <x:c r="B178" s="13"/>
      <x:c r="C178" s="13"/>
      <x:c r="D178" s="13"/>
      <x:c r="E178" s="13"/>
      <x:c r="F178" s="13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13"/>
      <x:c r="B179" s="13"/>
      <x:c r="C179" s="13"/>
      <x:c r="D179" s="13"/>
      <x:c r="E179" s="13"/>
      <x:c r="F179" s="13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13"/>
      <x:c r="B180" s="13"/>
      <x:c r="C180" s="13"/>
      <x:c r="D180" s="13"/>
      <x:c r="E180" s="13"/>
      <x:c r="F180" s="13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13"/>
      <x:c r="B181" s="13"/>
      <x:c r="C181" s="13"/>
      <x:c r="D181" s="13"/>
      <x:c r="E181" s="13"/>
      <x:c r="F181" s="13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13"/>
      <x:c r="B182" s="13"/>
      <x:c r="C182" s="13"/>
      <x:c r="D182" s="13"/>
      <x:c r="E182" s="13"/>
      <x:c r="F182" s="13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13"/>
      <x:c r="B183" s="13"/>
      <x:c r="C183" s="13"/>
      <x:c r="D183" s="13"/>
      <x:c r="E183" s="13"/>
      <x:c r="F183" s="13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13"/>
      <x:c r="B184" s="13"/>
      <x:c r="C184" s="13"/>
      <x:c r="D184" s="13"/>
      <x:c r="E184" s="13"/>
      <x:c r="F184" s="13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13"/>
      <x:c r="B185" s="13"/>
      <x:c r="C185" s="13"/>
      <x:c r="D185" s="13"/>
      <x:c r="E185" s="13"/>
      <x:c r="F185" s="13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13"/>
      <x:c r="B186" s="13"/>
      <x:c r="C186" s="13"/>
      <x:c r="D186" s="13"/>
      <x:c r="E186" s="13"/>
      <x:c r="F186" s="13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13"/>
      <x:c r="B187" s="13"/>
      <x:c r="C187" s="13"/>
      <x:c r="D187" s="13"/>
      <x:c r="E187" s="13"/>
      <x:c r="F187" s="13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13"/>
      <x:c r="B188" s="13"/>
      <x:c r="C188" s="13"/>
      <x:c r="D188" s="13"/>
      <x:c r="E188" s="13"/>
      <x:c r="F188" s="13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13"/>
      <x:c r="B189" s="13"/>
      <x:c r="C189" s="13"/>
      <x:c r="D189" s="13"/>
      <x:c r="E189" s="13"/>
      <x:c r="F189" s="13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13"/>
      <x:c r="B190" s="13"/>
      <x:c r="C190" s="13"/>
      <x:c r="D190" s="13"/>
      <x:c r="E190" s="13"/>
      <x:c r="F190" s="13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13"/>
      <x:c r="B191" s="13"/>
      <x:c r="C191" s="13"/>
      <x:c r="D191" s="13"/>
      <x:c r="E191" s="13"/>
      <x:c r="F191" s="13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13"/>
      <x:c r="B192" s="13"/>
      <x:c r="C192" s="13"/>
      <x:c r="D192" s="13"/>
      <x:c r="E192" s="13"/>
      <x:c r="F192" s="13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13"/>
      <x:c r="B193" s="13"/>
      <x:c r="C193" s="13"/>
      <x:c r="D193" s="13"/>
      <x:c r="E193" s="13"/>
      <x:c r="F193" s="13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13"/>
      <x:c r="B194" s="13"/>
      <x:c r="C194" s="13"/>
      <x:c r="D194" s="13"/>
      <x:c r="E194" s="13"/>
      <x:c r="F194" s="13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13"/>
      <x:c r="B195" s="13"/>
      <x:c r="C195" s="13"/>
      <x:c r="D195" s="13"/>
      <x:c r="E195" s="13"/>
      <x:c r="F195" s="13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13"/>
      <x:c r="B196" s="13"/>
      <x:c r="C196" s="13"/>
      <x:c r="D196" s="13"/>
      <x:c r="E196" s="13"/>
      <x:c r="F196" s="13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13"/>
      <x:c r="B197" s="13"/>
      <x:c r="C197" s="13"/>
      <x:c r="D197" s="13"/>
      <x:c r="E197" s="13"/>
      <x:c r="F197" s="13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13"/>
      <x:c r="B198" s="13"/>
      <x:c r="C198" s="13"/>
      <x:c r="D198" s="13"/>
      <x:c r="E198" s="13"/>
      <x:c r="F198" s="13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13"/>
      <x:c r="B199" s="13"/>
      <x:c r="C199" s="13"/>
      <x:c r="D199" s="13"/>
      <x:c r="E199" s="13"/>
      <x:c r="F199" s="13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13"/>
      <x:c r="B200" s="13"/>
      <x:c r="C200" s="13"/>
      <x:c r="D200" s="13"/>
      <x:c r="E200" s="13"/>
      <x:c r="F200" s="13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13"/>
      <x:c r="B201" s="13"/>
      <x:c r="C201" s="13"/>
      <x:c r="D201" s="13"/>
      <x:c r="E201" s="13"/>
      <x:c r="F201" s="13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13"/>
      <x:c r="B202" s="13"/>
      <x:c r="C202" s="13"/>
      <x:c r="D202" s="13"/>
      <x:c r="E202" s="13"/>
      <x:c r="F202" s="13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13"/>
      <x:c r="B203" s="13"/>
      <x:c r="C203" s="13"/>
      <x:c r="D203" s="13"/>
      <x:c r="E203" s="13"/>
      <x:c r="F203" s="13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13"/>
      <x:c r="B204" s="13"/>
      <x:c r="C204" s="13"/>
      <x:c r="D204" s="13"/>
      <x:c r="E204" s="13"/>
      <x:c r="F204" s="13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13"/>
      <x:c r="B205" s="13"/>
      <x:c r="C205" s="13"/>
      <x:c r="D205" s="13"/>
      <x:c r="E205" s="13"/>
      <x:c r="F205" s="13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13"/>
      <x:c r="B206" s="13"/>
      <x:c r="C206" s="13"/>
      <x:c r="D206" s="13"/>
      <x:c r="E206" s="13"/>
      <x:c r="F206" s="13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13"/>
      <x:c r="B207" s="13"/>
      <x:c r="C207" s="13"/>
      <x:c r="D207" s="13"/>
      <x:c r="E207" s="13"/>
      <x:c r="F207" s="13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13"/>
      <x:c r="B208" s="13"/>
      <x:c r="C208" s="13"/>
      <x:c r="D208" s="13"/>
      <x:c r="E208" s="13"/>
      <x:c r="F208" s="13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13"/>
      <x:c r="B209" s="13"/>
      <x:c r="C209" s="13"/>
      <x:c r="D209" s="13"/>
      <x:c r="E209" s="13"/>
      <x:c r="F209" s="13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13"/>
      <x:c r="B210" s="13"/>
      <x:c r="C210" s="13"/>
      <x:c r="D210" s="13"/>
      <x:c r="E210" s="13"/>
      <x:c r="F210" s="13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13"/>
      <x:c r="B211" s="13"/>
      <x:c r="C211" s="13"/>
      <x:c r="D211" s="13"/>
      <x:c r="E211" s="13"/>
      <x:c r="F211" s="13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13"/>
      <x:c r="B212" s="13"/>
      <x:c r="C212" s="13"/>
      <x:c r="D212" s="13"/>
      <x:c r="E212" s="13"/>
      <x:c r="F212" s="13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13"/>
      <x:c r="B213" s="13"/>
      <x:c r="C213" s="13"/>
      <x:c r="D213" s="13"/>
      <x:c r="E213" s="13"/>
      <x:c r="F213" s="13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13"/>
      <x:c r="B214" s="13"/>
      <x:c r="C214" s="13"/>
      <x:c r="D214" s="13"/>
      <x:c r="E214" s="13"/>
      <x:c r="F214" s="13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13"/>
      <x:c r="B215" s="13"/>
      <x:c r="C215" s="13"/>
      <x:c r="D215" s="13"/>
      <x:c r="E215" s="13"/>
      <x:c r="F215" s="13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13"/>
      <x:c r="B216" s="13"/>
      <x:c r="C216" s="13"/>
      <x:c r="D216" s="13"/>
      <x:c r="E216" s="13"/>
      <x:c r="F216" s="13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13"/>
      <x:c r="B217" s="13"/>
      <x:c r="C217" s="13"/>
      <x:c r="D217" s="13"/>
      <x:c r="E217" s="13"/>
      <x:c r="F217" s="13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13"/>
      <x:c r="B218" s="13"/>
      <x:c r="C218" s="13"/>
      <x:c r="D218" s="13"/>
      <x:c r="E218" s="13"/>
      <x:c r="F218" s="13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13"/>
      <x:c r="B219" s="13"/>
      <x:c r="C219" s="13"/>
      <x:c r="D219" s="13"/>
      <x:c r="E219" s="13"/>
      <x:c r="F219" s="13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13"/>
      <x:c r="B220" s="13"/>
      <x:c r="C220" s="13"/>
      <x:c r="D220" s="13"/>
      <x:c r="E220" s="13"/>
      <x:c r="F220" s="13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13"/>
      <x:c r="B221" s="13"/>
      <x:c r="C221" s="13"/>
      <x:c r="D221" s="13"/>
      <x:c r="E221" s="13"/>
      <x:c r="F221" s="13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13"/>
      <x:c r="B222" s="13"/>
      <x:c r="C222" s="13"/>
      <x:c r="D222" s="13"/>
      <x:c r="E222" s="13"/>
      <x:c r="F222" s="13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13"/>
      <x:c r="B223" s="13"/>
      <x:c r="C223" s="13"/>
      <x:c r="D223" s="13"/>
      <x:c r="E223" s="13"/>
      <x:c r="F223" s="13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13"/>
      <x:c r="B224" s="13"/>
      <x:c r="C224" s="13"/>
      <x:c r="D224" s="13"/>
      <x:c r="E224" s="13"/>
      <x:c r="F224" s="13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13"/>
      <x:c r="B225" s="13"/>
      <x:c r="C225" s="13"/>
      <x:c r="D225" s="13"/>
      <x:c r="E225" s="13"/>
      <x:c r="F225" s="13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13"/>
      <x:c r="B226" s="13"/>
      <x:c r="C226" s="13"/>
      <x:c r="D226" s="13"/>
      <x:c r="E226" s="13"/>
      <x:c r="F226" s="13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13"/>
      <x:c r="B227" s="13"/>
      <x:c r="C227" s="13"/>
      <x:c r="D227" s="13"/>
      <x:c r="E227" s="13"/>
      <x:c r="F227" s="13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13"/>
      <x:c r="B228" s="13"/>
      <x:c r="C228" s="13"/>
      <x:c r="D228" s="13"/>
      <x:c r="E228" s="13"/>
      <x:c r="F228" s="13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13"/>
      <x:c r="B229" s="13"/>
      <x:c r="C229" s="13"/>
      <x:c r="D229" s="13"/>
      <x:c r="E229" s="13"/>
      <x:c r="F229" s="13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13"/>
      <x:c r="B230" s="13"/>
      <x:c r="C230" s="13"/>
      <x:c r="D230" s="13"/>
      <x:c r="E230" s="13"/>
      <x:c r="F230" s="13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13"/>
      <x:c r="B231" s="13"/>
      <x:c r="C231" s="13"/>
      <x:c r="D231" s="13"/>
      <x:c r="E231" s="13"/>
      <x:c r="F231" s="13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13"/>
      <x:c r="B232" s="13"/>
      <x:c r="C232" s="13"/>
      <x:c r="D232" s="13"/>
      <x:c r="E232" s="13"/>
      <x:c r="F232" s="13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13"/>
      <x:c r="B233" s="13"/>
      <x:c r="C233" s="13"/>
      <x:c r="D233" s="13"/>
      <x:c r="E233" s="13"/>
      <x:c r="F233" s="13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13"/>
      <x:c r="B234" s="13"/>
      <x:c r="C234" s="13"/>
      <x:c r="D234" s="13"/>
      <x:c r="E234" s="13"/>
      <x:c r="F234" s="13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13"/>
      <x:c r="B235" s="13"/>
      <x:c r="C235" s="13"/>
      <x:c r="D235" s="13"/>
      <x:c r="E235" s="13"/>
      <x:c r="F235" s="13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13"/>
      <x:c r="B236" s="13"/>
      <x:c r="C236" s="13"/>
      <x:c r="D236" s="13"/>
      <x:c r="E236" s="13"/>
      <x:c r="F236" s="13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13"/>
      <x:c r="B237" s="13"/>
      <x:c r="C237" s="13"/>
      <x:c r="D237" s="13"/>
      <x:c r="E237" s="13"/>
      <x:c r="F237" s="13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13"/>
      <x:c r="B238" s="13"/>
      <x:c r="C238" s="13"/>
      <x:c r="D238" s="13"/>
      <x:c r="E238" s="13"/>
      <x:c r="F238" s="13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13"/>
      <x:c r="B239" s="13"/>
      <x:c r="C239" s="13"/>
      <x:c r="D239" s="13"/>
      <x:c r="E239" s="13"/>
      <x:c r="F239" s="13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13"/>
      <x:c r="B240" s="13"/>
      <x:c r="C240" s="13"/>
      <x:c r="D240" s="13"/>
      <x:c r="E240" s="13"/>
      <x:c r="F240" s="13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13"/>
      <x:c r="B241" s="13"/>
      <x:c r="C241" s="13"/>
      <x:c r="D241" s="13"/>
      <x:c r="E241" s="13"/>
      <x:c r="F241" s="13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13"/>
      <x:c r="B242" s="13"/>
      <x:c r="C242" s="13"/>
      <x:c r="D242" s="13"/>
      <x:c r="E242" s="13"/>
      <x:c r="F242" s="13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13"/>
      <x:c r="B243" s="13"/>
      <x:c r="C243" s="13"/>
      <x:c r="D243" s="13"/>
      <x:c r="E243" s="13"/>
      <x:c r="F243" s="13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13"/>
      <x:c r="B244" s="13"/>
      <x:c r="C244" s="13"/>
      <x:c r="D244" s="13"/>
      <x:c r="E244" s="13"/>
      <x:c r="F244" s="13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13"/>
      <x:c r="B245" s="13"/>
      <x:c r="C245" s="13"/>
      <x:c r="D245" s="13"/>
      <x:c r="E245" s="13"/>
      <x:c r="F245" s="13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13"/>
      <x:c r="B246" s="13"/>
      <x:c r="C246" s="13"/>
      <x:c r="D246" s="13"/>
      <x:c r="E246" s="13"/>
      <x:c r="F246" s="13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F1"/>
  </x:mergeCells>
  <x:pageMargins left="0.7" right="0.7" top="0.75" bottom="0.75" header="0.3" footer="0.3"/>
</x:worksheet>
</file>