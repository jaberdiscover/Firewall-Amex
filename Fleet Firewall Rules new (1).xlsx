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Input Sheet" sheetId="1" r:id="rId5"/>
    <sheet state="visible" name=" Fleet → Mgmt+WLD" sheetId="2" r:id="rId6"/>
    <sheet state="visible" name="Mgmt+WLD → Fleet" sheetId="3" r:id="rId7"/>
    <sheet state="visible" name="Fleet → External" sheetId="4" r:id="rId8"/>
    <sheet state="visible" name=" Route Table" sheetId="5" r:id="rId9"/>
    <sheet state="visible" name="Port Summary" sheetId="6" r:id="rId10"/>
  </sheets>
  <definedNames/>
  <calcPr/>
</workbook>
</file>

<file path=xl/sharedStrings.xml><?xml version="1.0" encoding="utf-8"?>
<sst xmlns="http://schemas.openxmlformats.org/spreadsheetml/2006/main" count="2517" uniqueCount="1176">
  <si>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</si>
  <si>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</si>
  <si>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</si>
  <si>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</si>
  <si>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</si>
  <si>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</si>
  <si>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</si>
  <si>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</si>
  <si>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</si>
  <si>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</si>
  <si>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</si>
  <si>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</si>
  <si>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10.5.25.86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</si>
  <si>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</si>
  <si>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</si>
  <si>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</si>
  <si>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</si>
  <si>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</si>
  <si>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</si>
  <si>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</si>
  <si>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</si>
  <si>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</si>
  <si>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</si>
  <si>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</si>
  <si>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</si>
  <si>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</si>
  <si>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</si>
  <si>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</si>
  <si>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</si>
  <si>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</si>
  <si>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</si>
  <si>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</si>
  <si>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</si>
  <si>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</si>
  <si>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</si>
  <si>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</si>
  <si>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</si>
  <si>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</si>
  <si>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</si>
  <si>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</si>
  <si>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</si>
  <si>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</si>
  <si>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</si>
  <si>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</si>
  <si>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</si>
  <si>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</si>
  <si>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</si>
  <si>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</si>
  <si>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</si>
  <si>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</si>
  <si>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</si>
  <si>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</si>
  <si>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</si>
  <si>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</si>
  <si>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</si>
  <si>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</si>
  <si>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</si>
  <si>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</si>
  <si>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</si>
  <si>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</si>
  <si>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</si>
  <si>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</si>
  <si>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</si>
  <si>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</si>
  <si>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M8</t>
  </si>
  <si>
    <t>VMware Live Recovery (VLR) Appliance — sfoMGMT-1-1-vlsr1.test.net</t>
  </si>
  <si>
    <t>VLR_MGMT</t>
  </si>
  <si>
    <t>192.168.188.1</t>
  </si>
  <si>
    <t>🔷  EDGE CLUSTER UPLINKS  (per AZ — Edge VM IPs  | ToR IPs 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</si>
  <si>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</si>
  <si>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</si>
  <si>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</si>
  <si>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</si>
  <si>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</si>
  <si>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</si>
  <si>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</si>
  <si>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</si>
  <si>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</si>
  <si>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</si>
  <si>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</si>
  <si>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</si>
  <si>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</si>
  <si>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</si>
  <si>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</si>
  <si>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</si>
  <si>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</si>
  <si>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</si>
  <si>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</si>
  <si>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</si>
  <si>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</si>
  <si>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</si>
  <si>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</si>
  <si>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</si>
  <si>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</si>
  <si>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</si>
  <si>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</si>
  <si>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</si>
  <si>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</si>
  <si>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</si>
  <si>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</si>
  <si>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</si>
  <si>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</si>
  <si>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</si>
  <si>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</si>
  <si>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</si>
  <si>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</si>
  <si>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</si>
  <si>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</si>
  <si>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</si>
  <si>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</si>
  <si>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</si>
  <si>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</si>
  <si>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</si>
  <si>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</si>
  <si>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</si>
  <si>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</si>
  <si>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</si>
  <si>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</si>
  <si>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</si>
  <si>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</si>
  <si>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</si>
  <si>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</si>
  <si>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</si>
  <si>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</si>
  <si>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</si>
  <si>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</si>
  <si>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</si>
  <si>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</si>
  <si>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</si>
  <si>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</si>
  <si>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</si>
  <si>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</si>
  <si>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</si>
  <si>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</si>
  <si>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</si>
  <si>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</si>
  <si>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🔷  EDGE NODE DETAIL  (per-node individual IPs — for NSX deployment config, not firewall rules)</t>
  </si>
  <si>
    <t>EN1_UPL1</t>
  </si>
  <si>
    <t>Edge Node 1 — Uplink 1 IP  (phxvq1cinflne01.phx.aexp.com)</t>
  </si>
  <si>
    <t>EN1_UPL1_IP</t>
  </si>
  <si>
    <t>EN1_UPL2</t>
  </si>
  <si>
    <t>Edge Node 1 — Uplink 2 IP  (phxvq1cinflne01.phx.aexp.com)</t>
  </si>
  <si>
    <t>EN1_UPL2_IP</t>
  </si>
  <si>
    <t>EN1_RTEP</t>
  </si>
  <si>
    <t>Edge Node 1 — RTEP IP  (phxvq1cinflne01.phx.aexp.com)</t>
  </si>
  <si>
    <t>EN1_RTEP_IP</t>
  </si>
  <si>
    <t>EN1_ETEP</t>
  </si>
  <si>
    <t>Edge Node 1 — Edge TEP IP  (phxvq1cinflne01.phx.aexp.com)</t>
  </si>
  <si>
    <t>EN1_ETEP_IP</t>
  </si>
  <si>
    <t>EN2_UPL1</t>
  </si>
  <si>
    <t>Edge Node 2 — Uplink 1 IP  (phxvq1cinflne02.phx.aexp.com)</t>
  </si>
  <si>
    <t>EN2_UPL1_IP</t>
  </si>
  <si>
    <t>EN2_UPL2</t>
  </si>
  <si>
    <t>Edge Node 2 — Uplink 2 IP  (phxvq1cinflne02.phx.aexp.com)</t>
  </si>
  <si>
    <t>EN2_UPL2_IP</t>
  </si>
  <si>
    <t>EN2_RTEP</t>
  </si>
  <si>
    <t>Edge Node 2 — RTEP IP  (phxvq1cinflne02.phx.aexp.com)</t>
  </si>
  <si>
    <t>EN2_RTEP_IP</t>
  </si>
  <si>
    <t>EN2_ETEP</t>
  </si>
  <si>
    <t>Edge Node 2 — Edge TEP IP  (phxvq1cinflne02.phx.aexp.com)</t>
  </si>
  <si>
    <t>EN2_ETEP_IP</t>
  </si>
  <si>
    <t>EN3_UPL1</t>
  </si>
  <si>
    <t>Edge Node 3 — Uplink 1 IP  (phxvq1cinflne03.phx.aexp.com)</t>
  </si>
  <si>
    <t>EN3_UPL1_IP</t>
  </si>
  <si>
    <t>EN3_UPL2</t>
  </si>
  <si>
    <t>Edge Node 3 — Uplink 2 IP  (phxvq1cinflne03.phx.aexp.com)</t>
  </si>
  <si>
    <t>EN3_UPL2_IP</t>
  </si>
  <si>
    <t>EN3_RTEP</t>
  </si>
  <si>
    <t>Edge Node 3 — RTEP IP  (phxvq1cinflne03.phx.aexp.com)</t>
  </si>
  <si>
    <t>EN3_RTEP_IP</t>
  </si>
  <si>
    <t>EN3_ETEP</t>
  </si>
  <si>
    <t>Edge Node 3 — Edge TEP IP  (phxvq1cinflne03.phx.aexp.com)</t>
  </si>
  <si>
    <t>EN3_ETEP_IP</t>
  </si>
  <si>
    <t>EN4_UPL1</t>
  </si>
  <si>
    <t>Edge Node 4 — Uplink 1 IP  (phxvq1cinflne04.phx.aexp.com)</t>
  </si>
  <si>
    <t>EN4_UPL1_IP</t>
  </si>
  <si>
    <t>EN4_UPL2</t>
  </si>
  <si>
    <t>Edge Node 4 — Uplink 2 IP  (phxvq1cinflne04.phx.aexp.com)</t>
  </si>
  <si>
    <t>EN4_UPL2_IP</t>
  </si>
  <si>
    <t>EN4_RTEP</t>
  </si>
  <si>
    <t>Edge Node 4 — RTEP IP  (phxvq1cinflne04.phx.aexp.com)</t>
  </si>
  <si>
    <t>EN4_RTEP_IP</t>
  </si>
  <si>
    <t>EN4_ETEP</t>
  </si>
  <si>
    <t>Edge Node 4 — Edge TEP IP  (phxvq1cinflne04.phx.aexp.com)</t>
  </si>
  <si>
    <t>EN4_ETEP_IP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</si>
  <si>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</si>
  <si>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</si>
  <si>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</si>
  <si>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</si>
  <si>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</si>
  <si>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</si>
  <si>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</si>
  <si>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</si>
  <si>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</si>
  <si>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</si>
  <si>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</si>
  <si>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</si>
  <si>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</si>
  <si>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</si>
  <si>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</si>
  <si>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</si>
  <si>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</si>
  <si>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</si>
  <si>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</si>
  <si>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</si>
  <si>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</si>
  <si>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</si>
  <si>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</si>
  <si>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</si>
  <si>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</si>
  <si>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</si>
  <si>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</si>
  <si>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</si>
  <si>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</si>
  <si>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</si>
  <si>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</si>
  <si>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</si>
  <si>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</si>
  <si>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</si>
  <si>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</si>
  <si>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</si>
  <si>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</si>
  <si>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</si>
  <si>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</si>
  <si>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ex:</t>
  </si>
  <si>
    <t>phxvq1cinflne01.phx.aexp.com</t>
  </si>
  <si>
    <t>10.3.118.22</t>
  </si>
  <si>
    <t>uplink1</t>
  </si>
  <si>
    <t>uplink2</t>
  </si>
  <si>
    <t>RTEP</t>
  </si>
  <si>
    <t>10.5.22.21</t>
  </si>
  <si>
    <t>edgeTEP</t>
  </si>
  <si>
    <t>10.3.69.164</t>
  </si>
  <si>
    <t>Live Recovery</t>
  </si>
  <si>
    <t>VM??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</si>
  <si>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</si>
  <si>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</si>
  <si>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</si>
  <si>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</si>
  <si>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</si>
  <si>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</si>
  <si>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</si>
  <si>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</si>
  <si>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</si>
  <si>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</si>
  <si>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</si>
  <si>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</si>
  <si>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</si>
  <si>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</si>
  <si>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</si>
  <si>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</si>
  <si>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</si>
  <si>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</si>
  <si>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</si>
  <si>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</si>
  <si>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</si>
  <si>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</si>
  <si>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</si>
  <si>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</si>
  <si>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</si>
  <si>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</si>
  <si>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</si>
  <si>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</si>
  <si>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</si>
  <si>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</si>
  <si>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</si>
  <si>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</si>
  <si>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</si>
  <si>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</si>
  <si>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</si>
  <si>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</si>
  <si>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</si>
  <si>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</si>
  <si>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</si>
  <si>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</si>
  <si>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</si>
  <si>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</si>
  <si>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</si>
  <si>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</si>
  <si>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</si>
  <si>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</si>
  <si>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</si>
  <si>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</si>
  <si>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</si>
  <si>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</si>
  <si>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</si>
  <si>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</si>
  <si>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</si>
  <si>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</si>
  <si>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</si>
  <si>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</si>
  <si>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</si>
  <si>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</si>
  <si>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</si>
  <si>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</si>
  <si>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</si>
  <si>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</si>
  <si>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</si>
  <si>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</si>
  <si>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</si>
  <si>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</si>
  <si>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</si>
  <si>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</si>
  <si>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</si>
  <si>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</si>
  <si>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</si>
  <si>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</si>
  <si>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</si>
  <si>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</si>
  <si>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</si>
  <si>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</si>
  <si>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</si>
  <si>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</si>
  <si>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</si>
  <si>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</si>
  <si>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</si>
  <si>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</si>
  <si>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</si>
  <si>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</si>
  <si>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</si>
  <si>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</si>
  <si>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</si>
  <si>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</si>
  <si>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</si>
  <si>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</si>
  <si>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</si>
  <si>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</si>
  <si>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</si>
  <si>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</si>
  <si>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</si>
  <si>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</si>
  <si>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</si>
  <si>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</si>
  <si>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</si>
  <si>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</si>
  <si>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</si>
  <si>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</si>
  <si>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</si>
  <si>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</si>
  <si>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</si>
  <si>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</si>
  <si>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</si>
  <si>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</si>
  <si>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</si>
  <si>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</si>
  <si>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</si>
  <si>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</si>
  <si>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</si>
  <si>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</si>
  <si>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</si>
  <si>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</si>
  <si>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</si>
  <si>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</si>
  <si>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</si>
  <si>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</si>
  <si>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</si>
  <si>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</si>
  <si>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</si>
  <si>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</si>
  <si>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</si>
  <si>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</si>
  <si>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</si>
  <si>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</si>
  <si>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</si>
  <si>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</si>
  <si>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</si>
  <si>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</si>
  <si>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</si>
  <si>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</si>
  <si>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</si>
  <si>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</si>
  <si>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</si>
  <si>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</si>
  <si>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</si>
  <si>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</si>
  <si>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</si>
  <si>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</si>
  <si>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</si>
  <si>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</si>
  <si>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</si>
  <si>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</si>
  <si>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</si>
  <si>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</si>
  <si>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</si>
  <si>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</si>
  <si>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</si>
  <si>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</si>
  <si>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</si>
  <si>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</si>
  <si>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</si>
  <si>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</si>
  <si>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</si>
  <si>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</si>
  <si>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</si>
  <si>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</si>
  <si>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</si>
  <si>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</si>
  <si>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</si>
  <si>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</si>
  <si>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</si>
  <si>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</si>
  <si>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</si>
  <si>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</si>
  <si>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</si>
  <si>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</si>
  <si>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</si>
  <si>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</si>
  <si>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</si>
  <si>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</si>
  <si>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</si>
  <si>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</si>
  <si>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</si>
  <si>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</si>
  <si>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</si>
  <si>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</si>
  <si>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</si>
  <si>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</si>
  <si>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</si>
  <si>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</si>
  <si>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</si>
  <si>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</si>
  <si>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</si>
  <si>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</si>
  <si>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</si>
  <si>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</si>
  <si>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</si>
  <si>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</si>
  <si>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</si>
  <si>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</si>
  <si>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</si>
  <si>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</si>
  <si>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</si>
  <si>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</si>
  <si>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</si>
  <si>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</si>
  <si>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</si>
  <si>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</si>
  <si>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</si>
  <si>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</si>
  <si>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</si>
  <si>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</si>
  <si>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</si>
  <si>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</si>
  <si>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</si>
  <si>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</si>
  <si>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</si>
  <si>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</si>
  <si>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</si>
  <si>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</si>
  <si>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</si>
  <si>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</si>
  <si>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</si>
  <si>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</si>
  <si>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</si>
  <si>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</si>
  <si>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</si>
  <si>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</si>
  <si>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</si>
  <si>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</si>
  <si>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</si>
  <si>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</si>
  <si>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</si>
  <si>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</si>
  <si>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</si>
  <si>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</si>
  <si>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</si>
  <si>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</si>
  <si>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</si>
  <si>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</si>
  <si>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</si>
  <si>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</si>
  <si>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</si>
  <si>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</si>
  <si>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</si>
  <si>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</si>
  <si>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</si>
  <si>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</si>
  <si>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</si>
  <si>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</si>
  <si>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</si>
  <si>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</si>
  <si>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</si>
  <si>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</si>
  <si>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</si>
  <si>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</si>
  <si>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</si>
  <si>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</si>
  <si>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</si>
  <si>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>BFD-01b</t>
  </si>
  <si>
    <t>BFD Echo — Edge1 Uplink1 → ToR Rack1 VLAN2606 (3785)</t>
  </si>
  <si>
    <t>3785</t>
  </si>
  <si>
    <t>BFD echo mode — fast failover detection</t>
  </si>
  <si>
    <t xml:space="preserve"> BFD echo - EU1→EU1</t>
  </si>
  <si>
    <t>BFD-02b</t>
  </si>
  <si>
    <t>BFD Echo — Edge1 Uplink2 → ToR Rack1 VLAN2607 (3785)</t>
  </si>
  <si>
    <t xml:space="preserve"> BFD echo - EU2→EU12</t>
  </si>
  <si>
    <t>BFD-03b</t>
  </si>
  <si>
    <t>BFD Echo — Edge3 Uplink1 → ToR Rack2 VLAN2608 (3785)</t>
  </si>
  <si>
    <t>BFD echo -EU5→EU13</t>
  </si>
  <si>
    <t>BFD-04b</t>
  </si>
  <si>
    <t>BFD Echo — Edge3 Uplink2 → ToR Rack2 VLAN2609 (3785)</t>
  </si>
  <si>
    <t>BFD echo -  EU6→EU14</t>
  </si>
  <si>
    <t>BFD-09</t>
  </si>
  <si>
    <t>BFD Multi-hop — Edge → Remote Edge cross-AZ (4784)</t>
  </si>
  <si>
    <t>NSX Edge Nodes (local AZ — EDGE_TEP)</t>
  </si>
  <si>
    <t>NSX Edge Nodes (remote AZ — EDGE_TEP)</t>
  </si>
  <si>
    <t>4784</t>
  </si>
  <si>
    <t>BFD multi-hop RFC 5883 — cross-AZ Inter-SR fast failover</t>
  </si>
  <si>
    <t xml:space="preserve"> cross-AZ T0 SR failover  EU9(AZ1)↔EU9(AZ2)</t>
  </si>
  <si>
    <t xml:space="preserve">NSX FEDERATION INTER-SITE RULES  (GM ↔ LM)  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</si>
  <si>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</si>
  <si>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</si>
  <si>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</si>
  <si>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</si>
  <si>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</si>
  <si>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GM→LM TCP 443 must be whitelisted for Federation</t>
  </si>
  <si>
    <t>FED-03</t>
  </si>
  <si>
    <t>NSX GM → NSX LM (all AZs) — Async Replication</t>
  </si>
  <si>
    <t>1236</t>
  </si>
  <si>
    <t>Asynchronous Replication — core engine pushing Global config to Local Managers</t>
  </si>
  <si>
    <t>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</si>
  <si>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</si>
  <si>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</si>
  <si>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</si>
  <si>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</si>
  <si>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</si>
  <si>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 xml:space="preserve"> inter-SR BGP distinct from Edge→ToR BGP (BGP-01 to BGP-08)</t>
  </si>
  <si>
    <t xml:space="preserve">NSX GM → LM  TCP 1236  </t>
  </si>
  <si>
    <t>NSX Local Manager (M2)</t>
  </si>
  <si>
    <t>NSX Federation Async Replication — GM pushes Global config to all Local Managers</t>
  </si>
  <si>
    <t xml:space="preserve"> — was MISSING, federation sync broken without this.</t>
  </si>
  <si>
    <t>NSX Edge → Remote Edge  TCP 179 Inter-SR BGP</t>
  </si>
  <si>
    <t>NSX Edge Node (local)</t>
  </si>
  <si>
    <t>NSX Remote Edge Node</t>
  </si>
  <si>
    <t>Inter-SR BGP cross-AZ routing updates between Service Routers</t>
  </si>
  <si>
    <t>Inter-site BGP — distinct from Edge→ToR BGP (BGP-01 to BGP-08).</t>
  </si>
  <si>
    <t>FED-07</t>
  </si>
  <si>
    <t>NSX GM Cluster — GM Node ↔ GM peer (TCP 15026)</t>
  </si>
  <si>
    <t>NSX Global Manager Node</t>
  </si>
  <si>
    <t>NSX Global Manager Node (peer)</t>
  </si>
  <si>
    <t>15026</t>
  </si>
  <si>
    <t>NSX GM cluster comms — quorum + config sync</t>
  </si>
  <si>
    <t xml:space="preserve"> GM cluster comm  M3↔M3</t>
  </si>
  <si>
    <t>VAMI-01</t>
  </si>
  <si>
    <t>Fleet Mgr → vCenter VAMI (5480)</t>
  </si>
  <si>
    <t>vCenter Server (VAMI)</t>
  </si>
  <si>
    <t>5480</t>
  </si>
  <si>
    <t>VAMI — Virtual Appliance Mgmt Interface — lifecycle/config/health</t>
  </si>
  <si>
    <t>Port note: Port 5480 VAMI. vlsr1 IP 192.168.188.1. Required for Fleet Mgr lifecycle ops on all VCF appliances.</t>
  </si>
  <si>
    <t>VAMI-02</t>
  </si>
  <si>
    <t>Fleet Mgr → SDDC Manager VAMI (5480)</t>
  </si>
  <si>
    <t>SDDC Manager (VAMI)</t>
  </si>
  <si>
    <t>SDDC Manager VAMI — lifecycle and config management</t>
  </si>
  <si>
    <t>Port note: Port 5480 — SDDC Manager appliance VAMI interface</t>
  </si>
  <si>
    <t>VAMI-03</t>
  </si>
  <si>
    <t>Fleet Mgr → NSX Manager VAMI (5480)</t>
  </si>
  <si>
    <t>NSX Manager (VAMI)</t>
  </si>
  <si>
    <t>NSX Manager VAMI — appliance lifecycle management</t>
  </si>
  <si>
    <t>Port note: Port 5480 — NSX Manager appliance VAMI</t>
  </si>
  <si>
    <t>VAMI-04</t>
  </si>
  <si>
    <t>VCFA → All VCF Appliances VAMI (5480)</t>
  </si>
  <si>
    <t>vCenter / NSX / SDDC (VAMI)</t>
  </si>
  <si>
    <t>VCFA automation engine — drives appliance lifecycle via VAMI</t>
  </si>
  <si>
    <t>Port note: Port 5480 — VCFA lifecycle automation needs VAMI on all managed appliances</t>
  </si>
  <si>
    <t>SRM-01</t>
  </si>
  <si>
    <t>vSphere Replication → vCenter SRM Listener (9086)</t>
  </si>
  <si>
    <t>vSphere Replication Appliance (M8)</t>
  </si>
  <si>
    <t>vCenter / SRM (sfoMGMT-1-1-VC1)</t>
  </si>
  <si>
    <t>9086</t>
  </si>
  <si>
    <t>SRM listener — replication traffic + PSC/SSO registration. Local host 192.168.188.1</t>
  </si>
  <si>
    <t>Port note: Port 9086 SRM listener. sfoMGMT-1-1-VC1.test.net. Local 192.168.188.1. Verify with network team before whitelist.</t>
  </si>
  <si>
    <t>SRM-02</t>
  </si>
  <si>
    <t>Remote Site → SRM Listener (9086 inbound)</t>
  </si>
  <si>
    <t>Remote Site vSphere Replication</t>
  </si>
  <si>
    <t>[Remote Site IP]</t>
  </si>
  <si>
    <t>SRM Local Listener (M8 — 192.168.188.1)</t>
  </si>
  <si>
    <t>SRM cross-site replication — remote site connects to local SRM listener</t>
  </si>
  <si>
    <t>Inbound</t>
  </si>
  <si>
    <t>Port note: Port 9086 inbound from remote replication site. Required for paired-site failover.</t>
  </si>
  <si>
    <t>🔷  VMware Live Recovery (VLR) / Site Protection &amp; DR Rules</t>
  </si>
  <si>
    <t>LVR-01</t>
  </si>
  <si>
    <t>VLR → vCenter (HTTPS/SSO Registration)</t>
  </si>
  <si>
    <t>VMware Live Recovery (VLR)</t>
  </si>
  <si>
    <t>SSO registration + API</t>
  </si>
  <si>
    <t>CF row 119/148 — VLR registers with vCenter SSO + certificate replacement</t>
  </si>
  <si>
    <t>CF row 119 — VLR registers with vCenter SSO at :5480 and :443</t>
  </si>
  <si>
    <t>LVR-02</t>
  </si>
  <si>
    <t>VLR → vCenter VAMI (5480)</t>
  </si>
  <si>
    <t>VAMI appliance management</t>
  </si>
  <si>
    <t>CF row 119 — VLR VAMI at :5480 for certificate + initial config</t>
  </si>
  <si>
    <t>CF row 119 — VLR VAMI management interface</t>
  </si>
  <si>
    <t>LVR-03</t>
  </si>
  <si>
    <t>VLR → ESXi Heartbeat (902)</t>
  </si>
  <si>
    <t>ESXi Hosts (Mgmt Domain)</t>
  </si>
  <si>
    <t>Heartbeat / VMRC</t>
  </si>
  <si>
    <t>CF row 165 — vSphere Replication VMkernel heartbeat to ESXi hosts</t>
  </si>
  <si>
    <t>CF row 165-175 — vSphere Replication VMkernel NFC traffic to ESXi hosts</t>
  </si>
  <si>
    <t>LVR-04</t>
  </si>
  <si>
    <t>VLR ↔ ESXi vSphere Replication NFC (8043)</t>
  </si>
  <si>
    <t>8043</t>
  </si>
  <si>
    <t>vSphere Replication NFC</t>
  </si>
  <si>
    <t>CF row 165-175 — vSphere Replication changed data block transfer</t>
  </si>
  <si>
    <t>LVR-05</t>
  </si>
  <si>
    <t>VLR ↔ ESXi vSphere Replication NFC (31031)</t>
  </si>
  <si>
    <t>31031</t>
  </si>
  <si>
    <t>vSphere Replication NFC changed blocks</t>
  </si>
  <si>
    <t>CF row 165-175 — vSphere Replication NFC alternate port</t>
  </si>
  <si>
    <t>LVR-06</t>
  </si>
  <si>
    <t>VLR ↔ ESXi vSphere Replication NFC (44046)</t>
  </si>
  <si>
    <t>44046</t>
  </si>
  <si>
    <t>vSphere Replication NFC alternate</t>
  </si>
  <si>
    <t>CF row 165-175 — Alternate NFC port for vSphere Replication</t>
  </si>
  <si>
    <t>CF row 112 — Domain Name Servers required for LVR</t>
  </si>
  <si>
    <t>LVR-07</t>
  </si>
  <si>
    <t>VLR → DNS</t>
  </si>
  <si>
    <t>CF row 112 — Domain Name Servers required for VLR appliance</t>
  </si>
  <si>
    <t>CF row 108 — NTP Servers required for LVR</t>
  </si>
  <si>
    <t>LVR-08</t>
  </si>
  <si>
    <t>VLR → NTP</t>
  </si>
  <si>
    <t>Time sync</t>
  </si>
  <si>
    <t>CF row 108 — NTP Servers required for VLR appliance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</si>
  <si>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</si>
  <si>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</si>
  <si>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</si>
  <si>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</si>
  <si>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</si>
  <si>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</si>
  <si>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</si>
  <si>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</si>
  <si>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</si>
  <si>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</si>
  <si>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</si>
  <si>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</si>
  <si>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</si>
  <si>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</si>
  <si>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</si>
  <si>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</si>
  <si>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</si>
  <si>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</si>
  <si>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</si>
  <si>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</si>
  <si>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</si>
  <si>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</si>
  <si>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</si>
  <si>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</si>
  <si>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</si>
  <si>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</si>
  <si>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</si>
  <si>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</si>
  <si>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</si>
  <si>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</si>
  <si>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</si>
  <si>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</si>
  <si>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</si>
  <si>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</si>
  <si>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</si>
  <si>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</si>
  <si>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</si>
  <si>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</si>
  <si>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</si>
  <si>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</si>
  <si>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</si>
  <si>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</si>
  <si>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</si>
  <si>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</si>
  <si>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</si>
  <si>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</si>
  <si>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</si>
  <si>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</si>
  <si>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</si>
  <si>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</si>
  <si>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</si>
  <si>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</si>
  <si>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</si>
  <si>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</si>
  <si>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</si>
  <si>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</si>
  <si>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</si>
  <si>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</si>
  <si>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</si>
  <si>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</si>
  <si>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</si>
  <si>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</si>
  <si>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</si>
  <si>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</si>
  <si>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</si>
  <si>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</si>
  <si>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</si>
  <si>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</si>
  <si>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</si>
  <si>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</si>
  <si>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</si>
  <si>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</si>
  <si>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</si>
  <si>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</si>
  <si>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</si>
  <si>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</si>
  <si>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</si>
  <si>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</si>
  <si>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</si>
  <si>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</si>
  <si>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</si>
  <si>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</si>
  <si>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</si>
  <si>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</si>
  <si>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</si>
  <si>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</si>
  <si>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</si>
  <si>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</si>
  <si>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</si>
  <si>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</si>
  <si>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</si>
  <si>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</si>
  <si>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</si>
  <si>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</si>
  <si>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</si>
  <si>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</si>
  <si>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</si>
  <si>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</si>
  <si>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</si>
  <si>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</si>
  <si>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</si>
  <si>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</si>
  <si>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</si>
  <si>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</si>
  <si>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</si>
  <si>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</si>
  <si>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</si>
  <si>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</si>
  <si>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</si>
  <si>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</si>
  <si>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</si>
  <si>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</si>
  <si>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</si>
  <si>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</si>
  <si>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</si>
  <si>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NSX team requirement</t>
  </si>
  <si>
    <t>FED-02</t>
  </si>
  <si>
    <t>NSX LM → NSX GM — API Sync (reverse)</t>
  </si>
  <si>
    <t>API &amp; Management Plane synchronisation — LM status reporting to GM</t>
  </si>
  <si>
    <t>LM→GM TCP 443 bidirectional with FED-01</t>
  </si>
  <si>
    <t>FED-04</t>
  </si>
  <si>
    <t>NSX LM → NSX GM — Async Replication (reverse)</t>
  </si>
  <si>
    <t>Asynchronous Replication acknowledgement — LM confirms receipt to GM</t>
  </si>
  <si>
    <t>TCP 1236 bidirectional with FED-03 — CRITICAL</t>
  </si>
  <si>
    <t>NSX GM → LM  TCP 443 (API + Mgmt Plane Sync)</t>
  </si>
  <si>
    <t>NSX Federation — API &amp; Management Plane Synchronisation GM→LM</t>
  </si>
  <si>
    <t>NSX Federation note: Federation port — GM pushes policy to LM. Required per AZ.</t>
  </si>
  <si>
    <t>NSX LM → GM  TCP 443 (reverse sync)</t>
  </si>
  <si>
    <t>NSX Federation — API &amp; Management Plane Sync LM→GM (return path)</t>
  </si>
  <si>
    <t>NSX Federation note: Bidirectional — LM must also reach GM on 443.</t>
  </si>
  <si>
    <t>NSX GM → LM  TCP 1236 (Async Replication) ⚠️ MISSING</t>
  </si>
  <si>
    <t>NSX Federation — Asynchronous Replication. Core engine pushing Global config from GM to all LMs. WITHOUT THIS FEDERATION WILL NOT SYNC.</t>
  </si>
  <si>
    <t>NSX Federation note: TCP 1236 was MISSING — added per NSX team 23/03/2026. WHITELIST IMMEDIATELY.</t>
  </si>
  <si>
    <t>NSX LM → GM  TCP 1236 (Async Replication return)</t>
  </si>
  <si>
    <t>NSX Federation — Async Replication return path LM→GM</t>
  </si>
  <si>
    <t>NSX Federation note: Bidirectional — both directions required for AR sync.</t>
  </si>
  <si>
    <t>NSX Edge → Remote Edge  TCP 179 (Inter-SR BGP)</t>
  </si>
  <si>
    <t>NSX Federation — Inter-Site BGP between Service Routers across AZs. Used for routing updates between locations.</t>
  </si>
  <si>
    <t>NSX Federation note: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</si>
  <si>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</si>
  <si>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</si>
  <si>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</si>
  <si>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</si>
  <si>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</si>
  <si>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NSX Federation note: Already covered as TEP-03 but added here explicitly as Federation requirement. MTU 1700+ required.</t>
  </si>
  <si>
    <t>VAMI-05</t>
  </si>
  <si>
    <t>vCenter VAMI ↔ Fleet Mgr (5480 bidirectional)</t>
  </si>
  <si>
    <t>VAMI bidirectional — appliance management response path</t>
  </si>
  <si>
    <t>Port note: Port 5480 VAMI — bidirectional between all appliances and management components</t>
  </si>
  <si>
    <t>VAMI-06</t>
  </si>
  <si>
    <t>SDDC Manager → All Appliances VAMI (5480)</t>
  </si>
  <si>
    <t>All VCF Appliances (vCenter/NSX/VOL)</t>
  </si>
  <si>
    <t>SDDC Mgr lifecycle — primary lifecycle manager for all VCF appliances via VAMI</t>
  </si>
  <si>
    <t>Port note: Port 5480 — SDDC Mgr drives all appliance lifecycle via VAMI interface</t>
  </si>
  <si>
    <t>VAMI-07</t>
  </si>
  <si>
    <t>ESXi Hosts → vCenter VAMI (5480)</t>
  </si>
  <si>
    <t>ESXi host provisioning and management traffic to vCenter VAMI</t>
  </si>
  <si>
    <t>Port note: Port 5480 — ESXi hosts communicate with vCenter VAMI during provisioning</t>
  </si>
  <si>
    <t>SRM-03</t>
  </si>
  <si>
    <t>PSC/vCenter → SRM Listener (9086)</t>
  </si>
  <si>
    <t>PSC/vCenter (sfoMGMT-1-1-PSC1.test.net)</t>
  </si>
  <si>
    <t>SRM Listener (Local Host 192.168.188.1)</t>
  </si>
  <si>
    <t>PSC SSO/vCenter registers with SRM for site protection on port 9086</t>
  </si>
  <si>
    <t>Port note: PSC sfoMGMT-1-1-PSC1.test.net, admin=administrator@vsphere.local. Port 9086.</t>
  </si>
  <si>
    <t>SRM-04</t>
  </si>
  <si>
    <t>SRM → Remote Site vCenter (9086 outbound)</t>
  </si>
  <si>
    <t>SRM / vSphere Replication (M8)</t>
  </si>
  <si>
    <t>Remote Site vCenter / SRM</t>
  </si>
  <si>
    <t>[Remote vCenter IP]</t>
  </si>
  <si>
    <t>SRM outbound — pairs with remote site for replication coordination and failover</t>
  </si>
  <si>
    <t>Port note: Port 9086 outbound to remote site. Required for pair-site registration and DR.</t>
  </si>
  <si>
    <t>NSX GM → LM  TCP 443  (Federation API + Mgmt Plane Sync)</t>
  </si>
  <si>
    <t>NSX Federation — API &amp; Management Plane Synchronisation GM↔LM</t>
  </si>
  <si>
    <t>NSX team: Federation port. GM pushes policy to LM. Required per AZ. Bidirectional.</t>
  </si>
  <si>
    <t>NSX GM → LM  TCP 1236  ⚠️ NEWLY WHITELISTED</t>
  </si>
  <si>
    <t>NSX Federation — Async Replication. Core engine pushing Global config GM→LM. WAS MISSING.</t>
  </si>
  <si>
    <t>NSX Federation note: TCP 1236 WAS MISSING — added 23/03/2026. Whitelist immediately on Gateway Firewall.</t>
  </si>
  <si>
    <t>NSX Edge → Remote Edge  TCP 179  (Inter-SR BGP)</t>
  </si>
  <si>
    <t>NSX Edge Node (local SR)</t>
  </si>
  <si>
    <t>NSX Remote Edge Node (peer AZ)</t>
  </si>
  <si>
    <t>NSX Federation — Inter-Site BGP between Service Routers across AZs. Routing updates between locations.</t>
  </si>
  <si>
    <t>NSX Federation note: Inter-SR BGP — distinct from Edge→ToR BGP (BGP-01 to BGP-08). Cross-AZ SR routing.</t>
  </si>
  <si>
    <t>NSX Edge → Remote Edge  UDP 6081  (GENEVE cross-AZ RTEP)</t>
  </si>
  <si>
    <t>NSX Edge RTEP (local)</t>
  </si>
  <si>
    <t>NSX Remote Edge RTEP (peer AZ)</t>
  </si>
  <si>
    <t>NSX Federation — GENEVE overlay for stretched logical segments via RTEP VLAN 2605. MTU 1700+ required.</t>
  </si>
  <si>
    <t>NSX Federation note: RTEP GENEVE — also covered in TEP-03. Explicit Federation label added.</t>
  </si>
  <si>
    <t>🔷  VMware Live Recovery (VLR) Rules  —  Inbound / Reverse</t>
  </si>
  <si>
    <t>LVR-09</t>
  </si>
  <si>
    <t>vCenter → VLR (HTTPS)</t>
  </si>
  <si>
    <t>vCenter → VLR management</t>
  </si>
  <si>
    <t>CF row 151 — vCenter reverse comms to VLR for site pair + recovery</t>
  </si>
  <si>
    <t>CF row 151 — vCenter Server registration back to VLR</t>
  </si>
  <si>
    <t>LVR-10</t>
  </si>
  <si>
    <t>vCenter → VLR VAMI (5480)</t>
  </si>
  <si>
    <t>VAMI bidirectional</t>
  </si>
  <si>
    <t>CF row 119 — VAMI management interface bidirectional</t>
  </si>
  <si>
    <t>LVR-11</t>
  </si>
  <si>
    <t>ESXi → VLR Heartbeat (902)</t>
  </si>
  <si>
    <t>Heartbeat reverse</t>
  </si>
  <si>
    <t>CF row 165 — ESXi VMkernel heartbeat reverse to VLR</t>
  </si>
  <si>
    <t>CF row 175 — vSphere Replication VMkernel reverse traffic</t>
  </si>
  <si>
    <t>LVR-12</t>
  </si>
  <si>
    <t>ESXi → VLR NFC (8043)</t>
  </si>
  <si>
    <t>vSphere Replication NFC reverse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</si>
  <si>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</si>
  <si>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</si>
  <si>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</si>
  <si>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</si>
  <si>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</si>
  <si>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</si>
  <si>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</si>
  <si>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</si>
  <si>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</si>
  <si>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</si>
  <si>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</si>
  <si>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</si>
  <si>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</si>
  <si>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</si>
  <si>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</si>
  <si>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</si>
  <si>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</si>
  <si>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</si>
  <si>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</si>
  <si>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</si>
  <si>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</si>
  <si>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</si>
  <si>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</si>
  <si>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</si>
  <si>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</si>
  <si>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</si>
  <si>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</si>
  <si>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</si>
  <si>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</si>
  <si>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</si>
  <si>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</si>
  <si>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</si>
  <si>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</si>
  <si>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</si>
  <si>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</si>
  <si>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</si>
  <si>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</si>
  <si>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</si>
  <si>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</si>
  <si>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</si>
  <si>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</si>
  <si>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</si>
  <si>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</si>
  <si>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</si>
  <si>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</si>
  <si>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</si>
  <si>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</si>
  <si>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</si>
  <si>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</si>
  <si>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</si>
  <si>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</si>
  <si>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</si>
  <si>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</si>
  <si>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</si>
  <si>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</si>
  <si>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</si>
  <si>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</si>
  <si>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</si>
  <si>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</si>
  <si>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</si>
  <si>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</si>
  <si>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</si>
  <si>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</si>
  <si>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</si>
  <si>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</si>
  <si>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</si>
  <si>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</si>
  <si>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</si>
  <si>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</si>
  <si>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</si>
  <si>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</si>
  <si>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</si>
  <si>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</si>
  <si>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</si>
  <si>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</si>
  <si>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</si>
  <si>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</si>
  <si>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</si>
  <si>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</si>
  <si>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</si>
  <si>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</si>
  <si>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</si>
  <si>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</si>
  <si>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</si>
  <si>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</si>
  <si>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</si>
  <si>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</si>
  <si>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</si>
  <si>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</si>
  <si>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</si>
  <si>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</si>
  <si>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</si>
  <si>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</si>
  <si>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</si>
  <si>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</si>
  <si>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</si>
  <si>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</si>
  <si>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</si>
  <si>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</si>
  <si>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</si>
  <si>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</si>
  <si>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</si>
  <si>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</si>
  <si>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</si>
  <si>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</si>
  <si>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</si>
  <si>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</si>
  <si>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</si>
  <si>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</si>
  <si>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</si>
  <si>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</si>
  <si>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</si>
  <si>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</si>
  <si>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</si>
  <si>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</si>
  <si>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</si>
  <si>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</si>
  <si>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</si>
  <si>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</si>
  <si>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</si>
  <si>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</si>
  <si>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</si>
  <si>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</si>
  <si>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</si>
  <si>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</si>
  <si>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</si>
  <si>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</si>
  <si>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</si>
  <si>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</si>
  <si>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</si>
  <si>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</si>
  <si>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</si>
  <si>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</si>
  <si>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</si>
  <si>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</si>
  <si>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</si>
  <si>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</si>
  <si>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</si>
  <si>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</si>
  <si>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</si>
  <si>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</si>
  <si>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</si>
  <si>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</si>
  <si>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</si>
  <si>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</si>
  <si>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</si>
  <si>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</si>
  <si>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</si>
  <si>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</si>
  <si>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</si>
  <si>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</si>
  <si>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</si>
  <si>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</si>
  <si>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</si>
  <si>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</si>
  <si>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</si>
  <si>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</si>
  <si>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</si>
  <si>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</si>
  <si>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</si>
  <si>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</si>
  <si>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</si>
  <si>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</si>
  <si>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</si>
  <si>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</si>
  <si>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</si>
  <si>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</si>
  <si>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</si>
  <si>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</si>
  <si>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</si>
  <si>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</si>
  <si>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</si>
  <si>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</si>
  <si>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</si>
  <si>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</si>
  <si>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</si>
  <si>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</si>
  <si>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</si>
  <si>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</si>
  <si>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</si>
  <si>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</si>
  <si>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</si>
  <si>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</si>
  <si>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</si>
  <si>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</si>
  <si>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</si>
  <si>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</si>
  <si>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</si>
  <si>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</si>
  <si>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</si>
  <si>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</si>
  <si>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</si>
  <si>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</si>
  <si>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</si>
  <si>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</si>
  <si>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</si>
  <si>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</si>
  <si>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</si>
  <si>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</si>
  <si>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</si>
  <si>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</si>
  <si>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</si>
  <si>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</si>
  <si>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</si>
  <si>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</si>
  <si>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</si>
  <si>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</si>
  <si>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</si>
  <si>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</si>
  <si>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</si>
  <si>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</si>
  <si>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</si>
  <si>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</si>
  <si>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</si>
  <si>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</si>
  <si>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</si>
  <si>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</si>
  <si>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</si>
  <si>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</si>
  <si>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</si>
  <si>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</si>
  <si>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</si>
  <si>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</si>
  <si>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</si>
  <si>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</si>
  <si>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</si>
  <si>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</si>
  <si>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</si>
  <si>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</si>
  <si>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</si>
  <si>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</si>
  <si>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</si>
  <si>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</si>
  <si>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</si>
  <si>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</si>
  <si>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</si>
  <si>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</si>
  <si>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</si>
  <si>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</si>
  <si>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</si>
  <si>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</si>
  <si>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</si>
  <si>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</si>
  <si>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</si>
  <si>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— all component comms incl. VLR SSO registration + site pair</t>
  </si>
  <si>
    <t>Syslog</t>
  </si>
  <si>
    <t>vCenter, NSX, SDDC, ESXi, VCFA</t>
  </si>
  <si>
    <t>Remote syslog  all components log to VOL</t>
  </si>
  <si>
    <t>LDAPS</t>
  </si>
  <si>
    <t>vCenter, VCF Automation, VMware Live Recovery (VLR)</t>
  </si>
  <si>
    <t>ESXi Hosts</t>
  </si>
  <si>
    <t>Core mgmt comms vCenter↔ESXi + VM console + VLR VMkernel heartbeat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</si>
  <si>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</si>
  <si>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</si>
  <si>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</si>
  <si>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</si>
  <si>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</si>
  <si>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</si>
  <si>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</si>
  <si>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</si>
  <si>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</si>
  <si>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</si>
  <si>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</si>
  <si>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</si>
  <si>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</si>
  <si>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</si>
  <si>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</si>
  <si>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</si>
  <si>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</si>
  <si>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</si>
  <si>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</si>
  <si>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</si>
  <si>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</si>
  <si>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</si>
  <si>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</si>
  <si>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</si>
  <si>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</si>
  <si>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</si>
  <si>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</si>
  <si>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</si>
  <si>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</si>
  <si>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</si>
  <si>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</si>
  <si>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</si>
  <si>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</si>
  <si>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</si>
  <si>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</si>
  <si>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</si>
  <si>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</si>
  <si>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</si>
  <si>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</si>
  <si>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</si>
  <si>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</si>
  <si>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</si>
  <si>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</si>
  <si>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</si>
  <si>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</si>
  <si>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</si>
  <si>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</si>
  <si>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</si>
  <si>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</si>
  <si>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</si>
  <si>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</si>
  <si>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</si>
  <si>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</si>
  <si>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</si>
  <si>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</si>
  <si>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</si>
  <si>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</si>
  <si>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</si>
  <si>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</si>
  <si>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</si>
  <si>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</si>
  <si>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</si>
  <si>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</si>
  <si>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ToR BGP Peer</t>
  </si>
  <si>
    <t>NSX Federation Async Replication</t>
  </si>
  <si>
    <t>⚠️ NEW — NSX team req. Core Federation engine — TCP 1236 MUST be whitelisted GM↔LM. Without this Global policy never reaches Local Managers.</t>
  </si>
  <si>
    <t>443 (Federation)</t>
  </si>
  <si>
    <t>NSX Federation API Sync</t>
  </si>
  <si>
    <t>Federation-specific 443 — in addition to existing component 443 rules. GM↔LM management plane sync.</t>
  </si>
  <si>
    <t>179 (Inter-SR)</t>
  </si>
  <si>
    <t>Inter-Site BGP — Service Router</t>
  </si>
  <si>
    <t>T0 SR Active Edge (per AZ)</t>
  </si>
  <si>
    <t>T0 SR Remote Edge (peer AZ)</t>
  </si>
  <si>
    <t>Inter-SR BGP distinct from Edge→ToR BGP. Required for T0 routing updates between AZs in NSX Federation.</t>
  </si>
  <si>
    <t>BFD — Multi-hop BFD (RFC 5883)</t>
  </si>
  <si>
    <t>NSX Edge Nodes (inter-site)</t>
  </si>
  <si>
    <t>Remote NSX Edge Nodes / Service Routers</t>
  </si>
  <si>
    <t>⚠️ NEWLY ADDED per network team requirements. BFD multi-hop for cross-AZ SR link detection. Required alongside UDP 3784/3785. All three BFD ports must be open.</t>
  </si>
  <si>
    <t>VAMI — Virtual Appliance Management Interface</t>
  </si>
  <si>
    <t>Fleet Mgr, VCFA, SDDC Mgr, ESXi, vCenter</t>
  </si>
  <si>
    <t>ALL VCF Appliances (vCenter, NSX Mgr, SDDC Mgr, VOL, VCFA, Fleet Mgr, vlsr1)</t>
  </si>
  <si>
    <t>⚠️ NEWLY ADDED per network team. VAMI is the mgmt interface for all VCF virtual appliances. vlsr1 VAMI IP: 192.168.188.1. Bidirectional.</t>
  </si>
  <si>
    <t>SRM — Site Recovery Manager Listener</t>
  </si>
  <si>
    <t>vSphere Replication (M8), PSC/vCenter, Remote Site</t>
  </si>
  <si>
    <t>SRM Listener — sfoMGMT-1-1-VC1.test.net (local host 192.168.188.1)</t>
  </si>
  <si>
    <t>⚠️ NEWLY ADDED per network team. SRM listener for cross-site replication and PSC SSO registration. Bidirectional. Verify with network team before whitelist per network team's comment.</t>
  </si>
  <si>
    <t>NSX Federation Async Replication (AR)</t>
  </si>
  <si>
    <t>NSX Local Manager (M2) — all AZs</t>
  </si>
  <si>
    <t>⚠️ NEWLY ADDED per NSX team 23/03/2026. Core Federation sync — GM pushes Global config to LMs. Was completely missing. Whitelist immediately.</t>
  </si>
  <si>
    <t>Inter-SR BGP (NSX Federation cross-AZ)</t>
  </si>
  <si>
    <t>NSX Edge Node Service Router (local AZ)</t>
  </si>
  <si>
    <t>NSX Remote Edge SR (peer AZ)</t>
  </si>
  <si>
    <t>Inter-site BGP between T0 Service Routers. Distinct from Edge→ToR BGP (BGP-01 to BGP-08).</t>
  </si>
  <si>
    <t>CF row 165-175 — vSphere Replication VMkernel NFC traffic. Required for LVR Site Protection &amp; DR.</t>
  </si>
  <si>
    <t>vSphere Replication NFC — Changed Blocks</t>
  </si>
  <si>
    <t>CF row 165-175 — Changed data block replication. Bidirectional between VLR and ESXi VMkernel.</t>
  </si>
  <si>
    <t>vSphere Replication NFC — Alternate</t>
  </si>
  <si>
    <t>CF row 165-175 — Alternate NFC port for vSphere Replication. Bidirectional.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</si>
</sst>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9.0"/>
      <color rgb="FF7F0000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9.0"/>
      <color rgb="FF7F6000"/>
      <name val="Arial"/>
    </font>
    <font>
      <sz val="9.0"/>
      <color theme="1"/>
      <name val="Arial"/>
    </font>
    <font>
      <i/>
      <sz val="9.0"/>
      <color rgb="FF7F7F7F"/>
      <name val="Arial"/>
    </font>
    <font>
      <b/>
      <sz val="12.0"/>
      <color rgb="FFFFFFFF"/>
      <name val="Arial"/>
    </font>
    <font>
      <b/>
      <sz val="9.0"/>
      <color rgb="FF375623"/>
      <name val="Arial"/>
    </font>
    <font>
      <b/>
      <sz val="9.0"/>
      <color rgb="FF0B5E34"/>
      <name val="Arial"/>
    </font>
    <font>
      <b/>
      <sz val="9.0"/>
      <color rgb="FF7030A0"/>
      <name val="Arial"/>
    </font>
    <font>
      <b/>
      <sz val="9.0"/>
      <color rgb="FFC55A11"/>
      <name val="Arial"/>
    </font>
    <font>
      <b/>
      <sz val="9.0"/>
      <color rgb="FF1F3864"/>
      <name val="Arial"/>
    </font>
    <font>
      <b/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1" fillId="7" fontId="6" numFmtId="0" xfId="0" applyAlignment="1" applyBorder="1" applyFill="1" applyFont="1">
      <alignment horizontal="left" shrinkToFit="0" vertical="center" wrapText="1"/>
    </xf>
    <xf borderId="4" fillId="8" fontId="10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5" fillId="9" fontId="9" numFmtId="0" xfId="0" applyAlignment="1" applyBorder="1" applyFill="1" applyFont="1">
      <alignment horizontal="left" shrinkToFit="0" vertical="center" wrapText="1"/>
    </xf>
    <xf borderId="5" fillId="9" fontId="9" numFmtId="0" xfId="0" applyAlignment="1" applyBorder="1" applyFont="1">
      <alignment vertical="bottom"/>
    </xf>
    <xf borderId="5" fillId="9" fontId="9" numFmtId="0" xfId="0" applyAlignment="1" applyBorder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3" numFmtId="0" xfId="0" applyAlignment="1" applyBorder="1" applyFont="1">
      <alignment vertical="bottom"/>
    </xf>
    <xf borderId="6" fillId="10" fontId="3" numFmtId="0" xfId="0" applyAlignment="1" applyBorder="1" applyFill="1" applyFont="1">
      <alignment vertical="bottom"/>
    </xf>
    <xf borderId="6" fillId="0" fontId="3" numFmtId="0" xfId="0" applyAlignment="1" applyBorder="1" applyFont="1">
      <alignment vertical="bottom"/>
    </xf>
    <xf borderId="6" fillId="11" fontId="3" numFmtId="0" xfId="0" applyAlignment="1" applyBorder="1" applyFill="1" applyFont="1">
      <alignment vertical="bottom"/>
    </xf>
    <xf borderId="1" fillId="2" fontId="11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12" fontId="12" numFmtId="0" xfId="0" applyAlignment="1" applyBorder="1" applyFill="1" applyFont="1">
      <alignment horizontal="left" shrinkToFit="0" vertical="center" wrapText="1"/>
    </xf>
    <xf borderId="4" fillId="13" fontId="7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left" shrinkToFit="0" vertical="center" wrapText="1"/>
    </xf>
    <xf borderId="4" fillId="13" fontId="9" numFmtId="0" xfId="0" applyAlignment="1" applyBorder="1" applyFont="1">
      <alignment horizontal="left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4" fillId="12" fontId="9" numFmtId="0" xfId="0" applyAlignment="1" applyBorder="1" applyFont="1">
      <alignment horizontal="left" shrinkToFit="0" vertical="center" wrapText="1"/>
    </xf>
    <xf borderId="4" fillId="12" fontId="9" numFmtId="0" xfId="0" applyAlignment="1" applyBorder="1" applyFont="1">
      <alignment horizontal="left" readingOrder="0" shrinkToFit="0" vertical="center" wrapText="1"/>
    </xf>
    <xf borderId="0" fillId="12" fontId="13" numFmtId="0" xfId="0" applyAlignment="1" applyFont="1">
      <alignment horizontal="center" vertical="center"/>
    </xf>
    <xf borderId="4" fillId="14" fontId="14" numFmtId="0" xfId="0" applyAlignment="1" applyBorder="1" applyFill="1" applyFont="1">
      <alignment horizontal="left" shrinkToFit="0" vertical="center" wrapText="1"/>
    </xf>
    <xf borderId="4" fillId="14" fontId="9" numFmtId="0" xfId="0" applyAlignment="1" applyBorder="1" applyFont="1">
      <alignment horizontal="left" shrinkToFit="0" vertical="center" wrapText="1"/>
    </xf>
    <xf borderId="4" fillId="15" fontId="15" numFmtId="0" xfId="0" applyAlignment="1" applyBorder="1" applyFill="1" applyFont="1">
      <alignment horizontal="left" shrinkToFit="0" vertical="center" wrapText="1"/>
    </xf>
    <xf borderId="4" fillId="12" fontId="14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left" shrinkToFit="0" vertical="center" wrapText="1"/>
    </xf>
    <xf borderId="4" fillId="15" fontId="9" numFmtId="0" xfId="0" applyAlignment="1" applyBorder="1" applyFont="1">
      <alignment horizontal="left" shrinkToFit="0" vertical="center" wrapText="1"/>
    </xf>
    <xf borderId="4" fillId="9" fontId="16" numFmtId="0" xfId="0" applyAlignment="1" applyBorder="1" applyFont="1">
      <alignment horizontal="left" shrinkToFit="0" vertical="center" wrapText="1"/>
    </xf>
    <xf borderId="4" fillId="8" fontId="16" numFmtId="0" xfId="0" applyAlignment="1" applyBorder="1" applyFont="1">
      <alignment horizontal="left" shrinkToFit="0" vertical="center" wrapText="1"/>
    </xf>
    <xf borderId="4" fillId="14" fontId="7" numFmtId="0" xfId="0" applyAlignment="1" applyBorder="1" applyFont="1">
      <alignment horizontal="left" shrinkToFit="0" vertical="center" wrapText="1"/>
    </xf>
    <xf borderId="4" fillId="9" fontId="14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left" shrinkToFit="0" vertical="center" wrapText="1"/>
    </xf>
    <xf borderId="4" fillId="9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45.0"/>
    <col customWidth="1" min="3" max="6" width="22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8</v>
      </c>
      <c r="B4" s="2"/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8" t="s">
        <v>9</v>
      </c>
      <c r="B5" s="8" t="s">
        <v>10</v>
      </c>
      <c r="C5" s="8" t="s">
        <v>11</v>
      </c>
      <c r="D5" s="9" t="s">
        <v>12</v>
      </c>
      <c r="E5" s="9" t="s">
        <v>12</v>
      </c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8" t="s">
        <v>13</v>
      </c>
      <c r="B6" s="8" t="s">
        <v>14</v>
      </c>
      <c r="C6" s="8" t="s">
        <v>15</v>
      </c>
      <c r="D6" s="9" t="s">
        <v>16</v>
      </c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8" t="s">
        <v>17</v>
      </c>
      <c r="B7" s="8" t="s">
        <v>18</v>
      </c>
      <c r="C7" s="8" t="s">
        <v>19</v>
      </c>
      <c r="D7" s="9" t="s">
        <v>16</v>
      </c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8" t="s">
        <v>20</v>
      </c>
      <c r="B8" s="8" t="s">
        <v>21</v>
      </c>
      <c r="C8" s="8" t="s">
        <v>22</v>
      </c>
      <c r="D8" s="9" t="s">
        <v>16</v>
      </c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8" t="s">
        <v>23</v>
      </c>
      <c r="B9" s="8" t="s">
        <v>24</v>
      </c>
      <c r="C9" s="8" t="s">
        <v>25</v>
      </c>
      <c r="D9" s="9" t="s">
        <v>16</v>
      </c>
      <c r="E9" s="9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8" t="s">
        <v>26</v>
      </c>
      <c r="B10" s="8" t="s">
        <v>27</v>
      </c>
      <c r="C10" s="8" t="s">
        <v>28</v>
      </c>
      <c r="D10" s="9" t="s">
        <v>29</v>
      </c>
      <c r="E10" s="9" t="s">
        <v>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8" t="s">
        <v>31</v>
      </c>
      <c r="B11" s="8" t="s">
        <v>32</v>
      </c>
      <c r="C11" s="8" t="s">
        <v>33</v>
      </c>
      <c r="D11" s="9" t="s">
        <v>16</v>
      </c>
      <c r="E11" s="9" t="s">
        <v>16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" t="s">
        <v>34</v>
      </c>
      <c r="B12" s="2"/>
      <c r="C12" s="2"/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8" t="s">
        <v>35</v>
      </c>
      <c r="B13" s="8" t="s">
        <v>36</v>
      </c>
      <c r="C13" s="8" t="s">
        <v>37</v>
      </c>
      <c r="D13" s="9" t="s">
        <v>38</v>
      </c>
      <c r="E13" s="9" t="s">
        <v>39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8" t="s">
        <v>40</v>
      </c>
      <c r="B14" s="8" t="s">
        <v>41</v>
      </c>
      <c r="C14" s="8" t="s">
        <v>42</v>
      </c>
      <c r="D14" s="9" t="s">
        <v>29</v>
      </c>
      <c r="E14" s="9" t="s">
        <v>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8" t="s">
        <v>43</v>
      </c>
      <c r="B15" s="8" t="s">
        <v>44</v>
      </c>
      <c r="C15" s="8" t="s">
        <v>45</v>
      </c>
      <c r="D15" s="9" t="s">
        <v>29</v>
      </c>
      <c r="E15" s="9" t="s">
        <v>30</v>
      </c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8" t="s">
        <v>46</v>
      </c>
      <c r="B16" s="8" t="s">
        <v>47</v>
      </c>
      <c r="C16" s="8" t="s">
        <v>48</v>
      </c>
      <c r="D16" s="9" t="s">
        <v>49</v>
      </c>
      <c r="E16" s="9" t="s">
        <v>50</v>
      </c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8" t="s">
        <v>51</v>
      </c>
      <c r="B17" s="8" t="s">
        <v>52</v>
      </c>
      <c r="C17" s="8" t="s">
        <v>53</v>
      </c>
      <c r="D17" s="9" t="s">
        <v>54</v>
      </c>
      <c r="E17" s="9" t="s">
        <v>55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8" t="s">
        <v>56</v>
      </c>
      <c r="B18" s="8" t="s">
        <v>57</v>
      </c>
      <c r="C18" s="8" t="s">
        <v>58</v>
      </c>
      <c r="D18" s="9" t="s">
        <v>29</v>
      </c>
      <c r="E18" s="9" t="s">
        <v>30</v>
      </c>
      <c r="F18" s="9" t="s">
        <v>59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8" t="s">
        <v>60</v>
      </c>
      <c r="B19" s="8" t="s">
        <v>61</v>
      </c>
      <c r="C19" s="8" t="s">
        <v>62</v>
      </c>
      <c r="D19" s="9" t="s">
        <v>63</v>
      </c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0" t="s">
        <v>64</v>
      </c>
      <c r="B20" s="10" t="s">
        <v>65</v>
      </c>
      <c r="C20" s="10" t="s">
        <v>66</v>
      </c>
      <c r="D20" s="9" t="s">
        <v>67</v>
      </c>
      <c r="E20" s="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1" t="s">
        <v>68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0" t="s">
        <v>69</v>
      </c>
      <c r="B22" s="10" t="s">
        <v>70</v>
      </c>
      <c r="C22" s="10" t="s">
        <v>71</v>
      </c>
      <c r="D22" s="9" t="s">
        <v>72</v>
      </c>
      <c r="E22" s="9" t="s">
        <v>73</v>
      </c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0" t="s">
        <v>74</v>
      </c>
      <c r="B23" s="10" t="s">
        <v>75</v>
      </c>
      <c r="C23" s="10" t="s">
        <v>76</v>
      </c>
      <c r="D23" s="9" t="s">
        <v>77</v>
      </c>
      <c r="E23" s="9" t="s">
        <v>78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0" t="s">
        <v>79</v>
      </c>
      <c r="B24" s="10" t="s">
        <v>80</v>
      </c>
      <c r="C24" s="10" t="s">
        <v>81</v>
      </c>
      <c r="D24" s="9" t="s">
        <v>82</v>
      </c>
      <c r="E24" s="9" t="s">
        <v>83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0" t="s">
        <v>84</v>
      </c>
      <c r="B25" s="10" t="s">
        <v>85</v>
      </c>
      <c r="C25" s="10" t="s">
        <v>86</v>
      </c>
      <c r="D25" s="9" t="s">
        <v>87</v>
      </c>
      <c r="E25" s="9" t="s">
        <v>88</v>
      </c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0" t="s">
        <v>89</v>
      </c>
      <c r="B26" s="10" t="s">
        <v>90</v>
      </c>
      <c r="C26" s="10" t="s">
        <v>91</v>
      </c>
      <c r="D26" s="9" t="s">
        <v>92</v>
      </c>
      <c r="E26" s="9" t="s">
        <v>93</v>
      </c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0" t="s">
        <v>94</v>
      </c>
      <c r="B27" s="10" t="s">
        <v>95</v>
      </c>
      <c r="C27" s="10" t="s">
        <v>96</v>
      </c>
      <c r="D27" s="9" t="s">
        <v>97</v>
      </c>
      <c r="E27" s="9" t="s">
        <v>98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0" t="s">
        <v>99</v>
      </c>
      <c r="B28" s="10" t="s">
        <v>100</v>
      </c>
      <c r="C28" s="10" t="s">
        <v>101</v>
      </c>
      <c r="D28" s="9" t="s">
        <v>102</v>
      </c>
      <c r="E28" s="9" t="s">
        <v>103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0" t="s">
        <v>104</v>
      </c>
      <c r="B29" s="10" t="s">
        <v>105</v>
      </c>
      <c r="C29" s="10" t="s">
        <v>106</v>
      </c>
      <c r="D29" s="9" t="s">
        <v>107</v>
      </c>
      <c r="E29" s="9" t="s">
        <v>108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0" t="s">
        <v>109</v>
      </c>
      <c r="B30" s="10" t="s">
        <v>110</v>
      </c>
      <c r="C30" s="10" t="s">
        <v>111</v>
      </c>
      <c r="D30" s="9" t="s">
        <v>112</v>
      </c>
      <c r="E30" s="9" t="s">
        <v>113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0" t="s">
        <v>114</v>
      </c>
      <c r="B31" s="10" t="s">
        <v>115</v>
      </c>
      <c r="C31" s="10" t="s">
        <v>116</v>
      </c>
      <c r="D31" s="9" t="s">
        <v>117</v>
      </c>
      <c r="E31" s="9" t="s">
        <v>118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0" t="s">
        <v>119</v>
      </c>
      <c r="B32" s="10" t="s">
        <v>120</v>
      </c>
      <c r="C32" s="10" t="s">
        <v>121</v>
      </c>
      <c r="D32" s="9" t="s">
        <v>122</v>
      </c>
      <c r="E32" s="9" t="s">
        <v>123</v>
      </c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0" t="s">
        <v>124</v>
      </c>
      <c r="B33" s="10" t="s">
        <v>125</v>
      </c>
      <c r="C33" s="10" t="s">
        <v>126</v>
      </c>
      <c r="D33" s="9" t="s">
        <v>127</v>
      </c>
      <c r="E33" s="9" t="s">
        <v>78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0" t="s">
        <v>128</v>
      </c>
      <c r="B34" s="10" t="s">
        <v>129</v>
      </c>
      <c r="C34" s="10" t="s">
        <v>130</v>
      </c>
      <c r="D34" s="9" t="s">
        <v>131</v>
      </c>
      <c r="E34" s="9" t="s">
        <v>132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10" t="s">
        <v>133</v>
      </c>
      <c r="B35" s="10" t="s">
        <v>134</v>
      </c>
      <c r="C35" s="10" t="s">
        <v>135</v>
      </c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11" t="s">
        <v>136</v>
      </c>
      <c r="B36" s="2"/>
      <c r="C36" s="2"/>
      <c r="D36" s="2"/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0" t="s">
        <v>137</v>
      </c>
      <c r="B37" s="10" t="s">
        <v>138</v>
      </c>
      <c r="C37" s="10" t="s">
        <v>139</v>
      </c>
      <c r="D37" s="9"/>
      <c r="E37" s="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0" t="s">
        <v>140</v>
      </c>
      <c r="B38" s="10" t="s">
        <v>141</v>
      </c>
      <c r="C38" s="10" t="s">
        <v>142</v>
      </c>
      <c r="D38" s="9"/>
      <c r="E38" s="9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0" t="s">
        <v>143</v>
      </c>
      <c r="B39" s="10" t="s">
        <v>144</v>
      </c>
      <c r="C39" s="10" t="s">
        <v>145</v>
      </c>
      <c r="D39" s="9"/>
      <c r="E39" s="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0" t="s">
        <v>146</v>
      </c>
      <c r="B40" s="10" t="s">
        <v>147</v>
      </c>
      <c r="C40" s="10" t="s">
        <v>148</v>
      </c>
      <c r="D40" s="9"/>
      <c r="E40" s="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0" t="s">
        <v>149</v>
      </c>
      <c r="B41" s="10" t="s">
        <v>150</v>
      </c>
      <c r="C41" s="10" t="s">
        <v>151</v>
      </c>
      <c r="D41" s="9"/>
      <c r="E41" s="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0" t="s">
        <v>152</v>
      </c>
      <c r="B42" s="10" t="s">
        <v>153</v>
      </c>
      <c r="C42" s="10" t="s">
        <v>154</v>
      </c>
      <c r="D42" s="9"/>
      <c r="E42" s="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0" t="s">
        <v>155</v>
      </c>
      <c r="B43" s="10" t="s">
        <v>156</v>
      </c>
      <c r="C43" s="10" t="s">
        <v>157</v>
      </c>
      <c r="D43" s="9"/>
      <c r="E43" s="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0" t="s">
        <v>158</v>
      </c>
      <c r="B44" s="10" t="s">
        <v>159</v>
      </c>
      <c r="C44" s="10" t="s">
        <v>160</v>
      </c>
      <c r="D44" s="9"/>
      <c r="E44" s="9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0" t="s">
        <v>161</v>
      </c>
      <c r="B45" s="10" t="s">
        <v>162</v>
      </c>
      <c r="C45" s="10" t="s">
        <v>163</v>
      </c>
      <c r="D45" s="9"/>
      <c r="E45" s="9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0" t="s">
        <v>164</v>
      </c>
      <c r="B46" s="10" t="s">
        <v>165</v>
      </c>
      <c r="C46" s="10" t="s">
        <v>166</v>
      </c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0" t="s">
        <v>167</v>
      </c>
      <c r="B47" s="10" t="s">
        <v>168</v>
      </c>
      <c r="C47" s="10" t="s">
        <v>169</v>
      </c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0" t="s">
        <v>170</v>
      </c>
      <c r="B48" s="10" t="s">
        <v>171</v>
      </c>
      <c r="C48" s="10" t="s">
        <v>172</v>
      </c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0" t="s">
        <v>173</v>
      </c>
      <c r="B49" s="10" t="s">
        <v>174</v>
      </c>
      <c r="C49" s="10" t="s">
        <v>175</v>
      </c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0" t="s">
        <v>176</v>
      </c>
      <c r="B50" s="10" t="s">
        <v>177</v>
      </c>
      <c r="C50" s="10" t="s">
        <v>178</v>
      </c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0" t="s">
        <v>179</v>
      </c>
      <c r="B51" s="10" t="s">
        <v>180</v>
      </c>
      <c r="C51" s="10" t="s">
        <v>181</v>
      </c>
      <c r="D51" s="9"/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0" t="s">
        <v>182</v>
      </c>
      <c r="B52" s="10" t="s">
        <v>183</v>
      </c>
      <c r="C52" s="10" t="s">
        <v>184</v>
      </c>
      <c r="D52" s="9"/>
      <c r="E52" s="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7" t="s">
        <v>185</v>
      </c>
      <c r="B53" s="2"/>
      <c r="C53" s="2"/>
      <c r="D53" s="2"/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" t="s">
        <v>186</v>
      </c>
      <c r="B54" s="10" t="s">
        <v>187</v>
      </c>
      <c r="C54" s="10" t="s">
        <v>188</v>
      </c>
      <c r="D54" s="9" t="s">
        <v>29</v>
      </c>
      <c r="E54" s="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 t="s">
        <v>189</v>
      </c>
      <c r="B55" s="10" t="s">
        <v>190</v>
      </c>
      <c r="C55" s="10" t="s">
        <v>191</v>
      </c>
      <c r="D55" s="9"/>
      <c r="E55" s="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 t="s">
        <v>192</v>
      </c>
      <c r="B56" s="10" t="s">
        <v>193</v>
      </c>
      <c r="C56" s="10" t="s">
        <v>194</v>
      </c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 t="s">
        <v>195</v>
      </c>
      <c r="B57" s="10" t="s">
        <v>196</v>
      </c>
      <c r="C57" s="10" t="s">
        <v>197</v>
      </c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" t="s">
        <v>198</v>
      </c>
      <c r="B58" s="10" t="s">
        <v>199</v>
      </c>
      <c r="C58" s="10" t="s">
        <v>200</v>
      </c>
      <c r="D58" s="9"/>
      <c r="E58" s="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 t="s">
        <v>201</v>
      </c>
      <c r="B59" s="2"/>
      <c r="C59" s="2"/>
      <c r="D59" s="2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 t="s">
        <v>202</v>
      </c>
      <c r="B60" s="10" t="s">
        <v>203</v>
      </c>
      <c r="C60" s="10" t="s">
        <v>204</v>
      </c>
      <c r="D60" s="9"/>
      <c r="E60" s="12" t="s">
        <v>205</v>
      </c>
      <c r="F60" s="12" t="s">
        <v>205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 t="s">
        <v>206</v>
      </c>
      <c r="B61" s="10" t="s">
        <v>207</v>
      </c>
      <c r="C61" s="10" t="s">
        <v>208</v>
      </c>
      <c r="D61" s="9"/>
      <c r="E61" s="12" t="s">
        <v>205</v>
      </c>
      <c r="F61" s="12" t="s">
        <v>205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 t="s">
        <v>209</v>
      </c>
      <c r="B62" s="10" t="s">
        <v>210</v>
      </c>
      <c r="C62" s="10" t="s">
        <v>211</v>
      </c>
      <c r="D62" s="9"/>
      <c r="E62" s="12" t="s">
        <v>205</v>
      </c>
      <c r="F62" s="12" t="s">
        <v>205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 t="s">
        <v>212</v>
      </c>
      <c r="B63" s="10" t="s">
        <v>213</v>
      </c>
      <c r="C63" s="10" t="s">
        <v>214</v>
      </c>
      <c r="D63" s="9"/>
      <c r="E63" s="12" t="s">
        <v>205</v>
      </c>
      <c r="F63" s="12" t="s">
        <v>205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 t="s">
        <v>215</v>
      </c>
      <c r="B64" s="10" t="s">
        <v>216</v>
      </c>
      <c r="C64" s="10" t="s">
        <v>217</v>
      </c>
      <c r="D64" s="9"/>
      <c r="E64" s="12" t="s">
        <v>205</v>
      </c>
      <c r="F64" s="12" t="s">
        <v>205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 t="s">
        <v>218</v>
      </c>
      <c r="B65" s="10" t="s">
        <v>219</v>
      </c>
      <c r="C65" s="10" t="s">
        <v>220</v>
      </c>
      <c r="D65" s="9"/>
      <c r="E65" s="12" t="s">
        <v>205</v>
      </c>
      <c r="F65" s="12" t="s">
        <v>205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" t="s">
        <v>221</v>
      </c>
      <c r="B67" s="10" t="s">
        <v>222</v>
      </c>
      <c r="C67" s="10" t="s">
        <v>223</v>
      </c>
      <c r="D67" s="9"/>
      <c r="E67" s="12" t="s">
        <v>205</v>
      </c>
      <c r="F67" s="12" t="s">
        <v>205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4"/>
      <c r="B68" s="14"/>
      <c r="C68" s="15"/>
      <c r="D68" s="15"/>
      <c r="E68" s="16"/>
      <c r="F68" s="1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4"/>
      <c r="C69" s="15"/>
      <c r="D69" s="15"/>
      <c r="E69" s="15"/>
      <c r="F69" s="1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/>
      <c r="B72" s="17"/>
      <c r="C72" s="17"/>
      <c r="D72" s="18"/>
      <c r="E72" s="18"/>
      <c r="F72" s="1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8"/>
      <c r="B73" s="17"/>
      <c r="C73" s="17"/>
      <c r="D73" s="18"/>
      <c r="E73" s="18"/>
      <c r="F73" s="1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8"/>
      <c r="B74" s="17"/>
      <c r="C74" s="17"/>
      <c r="D74" s="18"/>
      <c r="E74" s="18"/>
      <c r="F74" s="1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8"/>
      <c r="B75" s="17"/>
      <c r="C75" s="17"/>
      <c r="D75" s="18"/>
      <c r="E75" s="18"/>
      <c r="F75" s="1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 t="s">
        <v>224</v>
      </c>
      <c r="B78" s="19" t="s">
        <v>225</v>
      </c>
      <c r="C78" s="19" t="s">
        <v>226</v>
      </c>
      <c r="D78" s="13"/>
      <c r="E78" s="13"/>
      <c r="F78" s="1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20" t="s">
        <v>227</v>
      </c>
      <c r="C79" s="19" t="s">
        <v>72</v>
      </c>
      <c r="D79" s="13"/>
      <c r="E79" s="13"/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20" t="s">
        <v>228</v>
      </c>
      <c r="C80" s="19" t="s">
        <v>77</v>
      </c>
      <c r="D80" s="13"/>
      <c r="E80" s="13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20" t="s">
        <v>229</v>
      </c>
      <c r="C81" s="21" t="s">
        <v>230</v>
      </c>
      <c r="D81" s="13"/>
      <c r="E81" s="13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20" t="s">
        <v>231</v>
      </c>
      <c r="C82" s="20" t="s">
        <v>232</v>
      </c>
      <c r="D82" s="13"/>
      <c r="E82" s="13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 t="s">
        <v>233</v>
      </c>
      <c r="B83" s="13" t="s">
        <v>234</v>
      </c>
      <c r="C83" s="13"/>
      <c r="D83" s="13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8.71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0.0"/>
    <col customWidth="1" min="10" max="10" width="8.0"/>
    <col customWidth="1" min="11" max="12" width="14.0"/>
    <col customWidth="1" min="13" max="13" width="38.0"/>
    <col customWidth="1" min="14" max="14" width="14.57"/>
  </cols>
  <sheetData>
    <row r="1" ht="27.75" customHeight="1">
      <c r="A1" s="2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237</v>
      </c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243</v>
      </c>
      <c r="I3" s="6" t="s">
        <v>244</v>
      </c>
      <c r="J3" s="6" t="s">
        <v>245</v>
      </c>
      <c r="K3" s="6" t="s">
        <v>246</v>
      </c>
      <c r="L3" s="6" t="s">
        <v>247</v>
      </c>
      <c r="M3" s="6" t="s">
        <v>248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3" t="s">
        <v>249</v>
      </c>
      <c r="B4" s="23" t="s">
        <v>250</v>
      </c>
      <c r="C4" s="23" t="s">
        <v>10</v>
      </c>
      <c r="D4" s="23" t="str">
        <f>IFERROR(IF('IP Input Sheet'!D5&lt;&gt;"",'IP Input Sheet'!D5,IF('IP Input Sheet'!E5&lt;&gt;"",'IP Input Sheet'!E5,'IP Input Sheet'!F5)),"[Enter IP]")</f>
        <v>10.5.25.86</v>
      </c>
      <c r="E4" s="23" t="s">
        <v>47</v>
      </c>
      <c r="F4" s="23" t="str">
        <f>IFERROR(IF('IP Input Sheet'!D16&lt;&gt;"",'IP Input Sheet'!D16,IF('IP Input Sheet'!E16&lt;&gt;"",'IP Input Sheet'!E16,'IP Input Sheet'!F16)),"[Enter IP]")</f>
        <v>10.3.118.30</v>
      </c>
      <c r="G4" s="23" t="s">
        <v>251</v>
      </c>
      <c r="H4" s="23" t="s">
        <v>252</v>
      </c>
      <c r="I4" s="23" t="s">
        <v>253</v>
      </c>
      <c r="J4" s="24" t="s">
        <v>254</v>
      </c>
      <c r="K4" s="25" t="s">
        <v>255</v>
      </c>
      <c r="L4" s="23" t="s">
        <v>256</v>
      </c>
      <c r="M4" s="23" t="s">
        <v>257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6" t="s">
        <v>258</v>
      </c>
      <c r="B5" s="26" t="s">
        <v>259</v>
      </c>
      <c r="C5" s="26" t="s">
        <v>10</v>
      </c>
      <c r="D5" s="26" t="str">
        <f>IFERROR(IF('IP Input Sheet'!D5&lt;&gt;"",'IP Input Sheet'!D5,IF('IP Input Sheet'!E5&lt;&gt;"",'IP Input Sheet'!E5,'IP Input Sheet'!F5)),"[Enter IP]")</f>
        <v>10.5.25.86</v>
      </c>
      <c r="E5" s="26" t="s">
        <v>14</v>
      </c>
      <c r="F5" s="26" t="str">
        <f>IFERROR(IF('IP Input Sheet'!D6&lt;&gt;"",'IP Input Sheet'!D6,IF('IP Input Sheet'!E6&lt;&gt;"",'IP Input Sheet'!E6,'IP Input Sheet'!F6)),"[Enter IP]")</f>
        <v>10.5.25.64/26</v>
      </c>
      <c r="G5" s="26" t="s">
        <v>251</v>
      </c>
      <c r="H5" s="26" t="s">
        <v>252</v>
      </c>
      <c r="I5" s="26" t="s">
        <v>260</v>
      </c>
      <c r="J5" s="24" t="s">
        <v>254</v>
      </c>
      <c r="K5" s="25" t="s">
        <v>255</v>
      </c>
      <c r="L5" s="26" t="s">
        <v>256</v>
      </c>
      <c r="M5" s="26" t="s">
        <v>261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23" t="s">
        <v>262</v>
      </c>
      <c r="B6" s="23" t="s">
        <v>263</v>
      </c>
      <c r="C6" s="23" t="s">
        <v>10</v>
      </c>
      <c r="D6" s="23" t="str">
        <f>IFERROR(IF('IP Input Sheet'!D5&lt;&gt;"",'IP Input Sheet'!D5,IF('IP Input Sheet'!E5&lt;&gt;"",'IP Input Sheet'!E5,'IP Input Sheet'!F5)),"[Enter IP]")</f>
        <v>10.5.25.86</v>
      </c>
      <c r="E6" s="23" t="s">
        <v>36</v>
      </c>
      <c r="F6" s="23" t="str">
        <f>IFERROR(IF('IP Input Sheet'!D13&lt;&gt;"",'IP Input Sheet'!D13,IF('IP Input Sheet'!E13&lt;&gt;"",'IP Input Sheet'!E13,'IP Input Sheet'!F13)),"[Enter IP]")</f>
        <v>10.3.118.18</v>
      </c>
      <c r="G6" s="23" t="s">
        <v>251</v>
      </c>
      <c r="H6" s="23" t="s">
        <v>252</v>
      </c>
      <c r="I6" s="23" t="s">
        <v>264</v>
      </c>
      <c r="J6" s="24" t="s">
        <v>254</v>
      </c>
      <c r="K6" s="25" t="s">
        <v>255</v>
      </c>
      <c r="L6" s="23" t="s">
        <v>256</v>
      </c>
      <c r="M6" s="2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6" t="s">
        <v>265</v>
      </c>
      <c r="B7" s="26" t="s">
        <v>266</v>
      </c>
      <c r="C7" s="26" t="s">
        <v>10</v>
      </c>
      <c r="D7" s="26" t="str">
        <f>IFERROR(IF('IP Input Sheet'!D5&lt;&gt;"",'IP Input Sheet'!D5,IF('IP Input Sheet'!E5&lt;&gt;"",'IP Input Sheet'!E5,'IP Input Sheet'!F5)),"[Enter IP]")</f>
        <v>10.5.25.86</v>
      </c>
      <c r="E7" s="26" t="s">
        <v>267</v>
      </c>
      <c r="F7" s="26" t="str">
        <f>IFERROR(IF('IP Input Sheet'!D14&lt;&gt;"",'IP Input Sheet'!D14,IF('IP Input Sheet'!E14&lt;&gt;"",'IP Input Sheet'!E14,'IP Input Sheet'!F14)),"[Enter IP]")</f>
        <v>10.3.118.0/24</v>
      </c>
      <c r="G7" s="26" t="s">
        <v>251</v>
      </c>
      <c r="H7" s="26" t="s">
        <v>252</v>
      </c>
      <c r="I7" s="26" t="s">
        <v>268</v>
      </c>
      <c r="J7" s="24" t="s">
        <v>254</v>
      </c>
      <c r="K7" s="25" t="s">
        <v>255</v>
      </c>
      <c r="L7" s="26" t="s">
        <v>256</v>
      </c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3" t="s">
        <v>269</v>
      </c>
      <c r="B8" s="23" t="s">
        <v>270</v>
      </c>
      <c r="C8" s="23" t="s">
        <v>10</v>
      </c>
      <c r="D8" s="23" t="str">
        <f>IFERROR(IF('IP Input Sheet'!D5&lt;&gt;"",'IP Input Sheet'!D5,IF('IP Input Sheet'!E5&lt;&gt;"",'IP Input Sheet'!E5,'IP Input Sheet'!F5)),"[Enter IP]")</f>
        <v>10.5.25.86</v>
      </c>
      <c r="E8" s="23" t="s">
        <v>203</v>
      </c>
      <c r="F8" s="23" t="str">
        <f>'IP Input Sheet'!D60</f>
        <v/>
      </c>
      <c r="G8" s="23" t="s">
        <v>271</v>
      </c>
      <c r="H8" s="23" t="s">
        <v>272</v>
      </c>
      <c r="I8" s="23" t="s">
        <v>273</v>
      </c>
      <c r="J8" s="24" t="s">
        <v>254</v>
      </c>
      <c r="K8" s="25" t="s">
        <v>255</v>
      </c>
      <c r="L8" s="23" t="s">
        <v>261</v>
      </c>
      <c r="M8" s="23" t="s">
        <v>274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6" t="s">
        <v>275</v>
      </c>
      <c r="B9" s="26" t="s">
        <v>276</v>
      </c>
      <c r="C9" s="26" t="s">
        <v>10</v>
      </c>
      <c r="D9" s="26" t="str">
        <f>IFERROR(IF('IP Input Sheet'!D5&lt;&gt;"",'IP Input Sheet'!D5,IF('IP Input Sheet'!E5&lt;&gt;"",'IP Input Sheet'!E5,'IP Input Sheet'!F5)),"[Enter IP]")</f>
        <v>10.5.25.86</v>
      </c>
      <c r="E9" s="26" t="s">
        <v>207</v>
      </c>
      <c r="F9" s="26" t="str">
        <f>'IP Input Sheet'!D61</f>
        <v/>
      </c>
      <c r="G9" s="26" t="s">
        <v>277</v>
      </c>
      <c r="H9" s="26" t="s">
        <v>278</v>
      </c>
      <c r="I9" s="26" t="s">
        <v>279</v>
      </c>
      <c r="J9" s="24" t="s">
        <v>254</v>
      </c>
      <c r="K9" s="25" t="s">
        <v>255</v>
      </c>
      <c r="L9" s="26" t="s">
        <v>256</v>
      </c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3" t="s">
        <v>280</v>
      </c>
      <c r="B10" s="23" t="s">
        <v>281</v>
      </c>
      <c r="C10" s="23" t="s">
        <v>10</v>
      </c>
      <c r="D10" s="23" t="str">
        <f>IFERROR(IF('IP Input Sheet'!D5&lt;&gt;"",'IP Input Sheet'!D5,IF('IP Input Sheet'!E5&lt;&gt;"",'IP Input Sheet'!E5,'IP Input Sheet'!F5)),"[Enter IP]")</f>
        <v>10.5.25.86</v>
      </c>
      <c r="E10" s="23" t="s">
        <v>282</v>
      </c>
      <c r="F10" s="23" t="str">
        <f>IFERROR(IF('IP Input Sheet'!D54&lt;&gt;"",'IP Input Sheet'!D54,IF('IP Input Sheet'!E54&lt;&gt;"",'IP Input Sheet'!E54,'IP Input Sheet'!F54)),"[Enter IP]")</f>
        <v>10.3.118.0/24</v>
      </c>
      <c r="G10" s="23" t="s">
        <v>251</v>
      </c>
      <c r="H10" s="23" t="s">
        <v>252</v>
      </c>
      <c r="I10" s="23" t="s">
        <v>283</v>
      </c>
      <c r="J10" s="24" t="s">
        <v>254</v>
      </c>
      <c r="K10" s="25" t="s">
        <v>255</v>
      </c>
      <c r="L10" s="23" t="s">
        <v>256</v>
      </c>
      <c r="M10" s="2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6" t="s">
        <v>284</v>
      </c>
      <c r="B11" s="26" t="s">
        <v>285</v>
      </c>
      <c r="C11" s="26" t="s">
        <v>10</v>
      </c>
      <c r="D11" s="26" t="str">
        <f>IFERROR(IF('IP Input Sheet'!D5&lt;&gt;"",'IP Input Sheet'!D5,IF('IP Input Sheet'!E5&lt;&gt;"",'IP Input Sheet'!E5,'IP Input Sheet'!F5)),"[Enter IP]")</f>
        <v>10.5.25.86</v>
      </c>
      <c r="E11" s="26" t="s">
        <v>286</v>
      </c>
      <c r="F11" s="26" t="str">
        <f>IFERROR(IF('IP Input Sheet'!D7&lt;&gt;"",'IP Input Sheet'!D7,IF('IP Input Sheet'!E7&lt;&gt;"",'IP Input Sheet'!E7,'IP Input Sheet'!F7)),"[Enter IP]")</f>
        <v>10.5.25.64/26</v>
      </c>
      <c r="G11" s="26" t="s">
        <v>287</v>
      </c>
      <c r="H11" s="26" t="s">
        <v>252</v>
      </c>
      <c r="I11" s="26" t="s">
        <v>288</v>
      </c>
      <c r="J11" s="24" t="s">
        <v>254</v>
      </c>
      <c r="K11" s="25" t="s">
        <v>255</v>
      </c>
      <c r="L11" s="26" t="s">
        <v>256</v>
      </c>
      <c r="M11" s="26" t="s">
        <v>289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3" t="s">
        <v>290</v>
      </c>
      <c r="B12" s="23" t="s">
        <v>291</v>
      </c>
      <c r="C12" s="23" t="s">
        <v>10</v>
      </c>
      <c r="D12" s="23" t="str">
        <f>IFERROR(IF('IP Input Sheet'!D5&lt;&gt;"",'IP Input Sheet'!D5,IF('IP Input Sheet'!E5&lt;&gt;"",'IP Input Sheet'!E5,'IP Input Sheet'!F5)),"[Enter IP]")</f>
        <v>10.5.25.86</v>
      </c>
      <c r="E12" s="23" t="s">
        <v>292</v>
      </c>
      <c r="F12" s="23" t="str">
        <f>IFERROR(IF('IP Input Sheet'!D7&lt;&gt;"",'IP Input Sheet'!D7,IF('IP Input Sheet'!E7&lt;&gt;"",'IP Input Sheet'!E7,'IP Input Sheet'!F7)),"[Enter IP]")</f>
        <v>10.5.25.64/26</v>
      </c>
      <c r="G12" s="23" t="s">
        <v>293</v>
      </c>
      <c r="H12" s="23" t="s">
        <v>252</v>
      </c>
      <c r="I12" s="23" t="s">
        <v>294</v>
      </c>
      <c r="J12" s="24" t="s">
        <v>254</v>
      </c>
      <c r="K12" s="25" t="s">
        <v>255</v>
      </c>
      <c r="L12" s="23" t="s">
        <v>256</v>
      </c>
      <c r="M12" s="2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6" t="s">
        <v>295</v>
      </c>
      <c r="B13" s="26" t="s">
        <v>296</v>
      </c>
      <c r="C13" s="26" t="s">
        <v>10</v>
      </c>
      <c r="D13" s="26" t="str">
        <f>IFERROR(IF('IP Input Sheet'!D5&lt;&gt;"",'IP Input Sheet'!D5,IF('IP Input Sheet'!E5&lt;&gt;"",'IP Input Sheet'!E5,'IP Input Sheet'!F5)),"[Enter IP]")</f>
        <v>10.5.25.86</v>
      </c>
      <c r="E13" s="26" t="s">
        <v>292</v>
      </c>
      <c r="F13" s="26" t="str">
        <f>IFERROR(IF('IP Input Sheet'!D7&lt;&gt;"",'IP Input Sheet'!D7,IF('IP Input Sheet'!E7&lt;&gt;"",'IP Input Sheet'!E7,'IP Input Sheet'!F7)),"[Enter IP]")</f>
        <v>10.5.25.64/26</v>
      </c>
      <c r="G13" s="26" t="s">
        <v>297</v>
      </c>
      <c r="H13" s="26" t="s">
        <v>252</v>
      </c>
      <c r="I13" s="26" t="s">
        <v>298</v>
      </c>
      <c r="J13" s="24" t="s">
        <v>254</v>
      </c>
      <c r="K13" s="25" t="s">
        <v>255</v>
      </c>
      <c r="L13" s="26" t="s">
        <v>256</v>
      </c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3" t="s">
        <v>299</v>
      </c>
      <c r="B14" s="23" t="s">
        <v>300</v>
      </c>
      <c r="C14" s="23" t="s">
        <v>10</v>
      </c>
      <c r="D14" s="23" t="str">
        <f>IFERROR(IF('IP Input Sheet'!D5&lt;&gt;"",'IP Input Sheet'!D5,IF('IP Input Sheet'!E5&lt;&gt;"",'IP Input Sheet'!E5,'IP Input Sheet'!F5)),"[Enter IP]")</f>
        <v>10.5.25.86</v>
      </c>
      <c r="E14" s="23" t="s">
        <v>292</v>
      </c>
      <c r="F14" s="23" t="str">
        <f>IFERROR(IF('IP Input Sheet'!D7&lt;&gt;"",'IP Input Sheet'!D7,IF('IP Input Sheet'!E7&lt;&gt;"",'IP Input Sheet'!E7,'IP Input Sheet'!F7)),"[Enter IP]")</f>
        <v>10.5.25.64/26</v>
      </c>
      <c r="G14" s="23" t="s">
        <v>301</v>
      </c>
      <c r="H14" s="23" t="s">
        <v>252</v>
      </c>
      <c r="I14" s="23" t="s">
        <v>302</v>
      </c>
      <c r="J14" s="24" t="s">
        <v>254</v>
      </c>
      <c r="K14" s="25" t="s">
        <v>255</v>
      </c>
      <c r="L14" s="23" t="s">
        <v>256</v>
      </c>
      <c r="M14" s="2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6" t="s">
        <v>303</v>
      </c>
      <c r="B15" s="26" t="s">
        <v>304</v>
      </c>
      <c r="C15" s="26" t="s">
        <v>10</v>
      </c>
      <c r="D15" s="26" t="str">
        <f>IFERROR(IF('IP Input Sheet'!D5&lt;&gt;"",'IP Input Sheet'!D5,IF('IP Input Sheet'!E5&lt;&gt;"",'IP Input Sheet'!E5,'IP Input Sheet'!F5)),"[Enter IP]")</f>
        <v>10.5.25.86</v>
      </c>
      <c r="E15" s="26" t="s">
        <v>292</v>
      </c>
      <c r="F15" s="26" t="str">
        <f>IFERROR(IF('IP Input Sheet'!D7&lt;&gt;"",'IP Input Sheet'!D7,IF('IP Input Sheet'!E7&lt;&gt;"",'IP Input Sheet'!E7,'IP Input Sheet'!F7)),"[Enter IP]")</f>
        <v>10.5.25.64/26</v>
      </c>
      <c r="G15" s="26" t="s">
        <v>305</v>
      </c>
      <c r="H15" s="26" t="s">
        <v>252</v>
      </c>
      <c r="I15" s="26" t="s">
        <v>306</v>
      </c>
      <c r="J15" s="24" t="s">
        <v>254</v>
      </c>
      <c r="K15" s="25" t="s">
        <v>255</v>
      </c>
      <c r="L15" s="26" t="s">
        <v>256</v>
      </c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3" t="s">
        <v>307</v>
      </c>
      <c r="B16" s="23" t="s">
        <v>308</v>
      </c>
      <c r="C16" s="23" t="s">
        <v>10</v>
      </c>
      <c r="D16" s="23" t="str">
        <f>IFERROR(IF('IP Input Sheet'!D5&lt;&gt;"",'IP Input Sheet'!D5,IF('IP Input Sheet'!E5&lt;&gt;"",'IP Input Sheet'!E5,'IP Input Sheet'!F5)),"[Enter IP]")</f>
        <v>10.5.25.86</v>
      </c>
      <c r="E16" s="23" t="s">
        <v>292</v>
      </c>
      <c r="F16" s="23" t="str">
        <f>IFERROR(IF('IP Input Sheet'!D7&lt;&gt;"",'IP Input Sheet'!D7,IF('IP Input Sheet'!E7&lt;&gt;"",'IP Input Sheet'!E7,'IP Input Sheet'!F7)),"[Enter IP]")</f>
        <v>10.5.25.64/26</v>
      </c>
      <c r="G16" s="23" t="s">
        <v>309</v>
      </c>
      <c r="H16" s="23" t="s">
        <v>252</v>
      </c>
      <c r="I16" s="23" t="s">
        <v>306</v>
      </c>
      <c r="J16" s="24" t="s">
        <v>254</v>
      </c>
      <c r="K16" s="25" t="s">
        <v>255</v>
      </c>
      <c r="L16" s="23" t="s">
        <v>256</v>
      </c>
      <c r="M16" s="2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6" t="s">
        <v>310</v>
      </c>
      <c r="B17" s="26" t="s">
        <v>311</v>
      </c>
      <c r="C17" s="26" t="s">
        <v>10</v>
      </c>
      <c r="D17" s="26" t="str">
        <f>IFERROR(IF('IP Input Sheet'!D5&lt;&gt;"",'IP Input Sheet'!D5,IF('IP Input Sheet'!E5&lt;&gt;"",'IP Input Sheet'!E5,'IP Input Sheet'!F5)),"[Enter IP]")</f>
        <v>10.5.25.86</v>
      </c>
      <c r="E17" s="26" t="s">
        <v>286</v>
      </c>
      <c r="F17" s="26" t="str">
        <f>IFERROR(IF('IP Input Sheet'!D7&lt;&gt;"",'IP Input Sheet'!D7,IF('IP Input Sheet'!E7&lt;&gt;"",'IP Input Sheet'!E7,'IP Input Sheet'!F7)),"[Enter IP]")</f>
        <v>10.5.25.64/26</v>
      </c>
      <c r="G17" s="26" t="s">
        <v>312</v>
      </c>
      <c r="H17" s="26" t="s">
        <v>252</v>
      </c>
      <c r="I17" s="26" t="s">
        <v>313</v>
      </c>
      <c r="J17" s="24" t="s">
        <v>254</v>
      </c>
      <c r="K17" s="25" t="s">
        <v>255</v>
      </c>
      <c r="L17" s="26" t="s">
        <v>256</v>
      </c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3" t="s">
        <v>314</v>
      </c>
      <c r="B18" s="23" t="s">
        <v>315</v>
      </c>
      <c r="C18" s="23" t="s">
        <v>14</v>
      </c>
      <c r="D18" s="23" t="str">
        <f>IFERROR(IF('IP Input Sheet'!D6&lt;&gt;"",'IP Input Sheet'!D6,IF('IP Input Sheet'!E6&lt;&gt;"",'IP Input Sheet'!E6,'IP Input Sheet'!F6)),"[Enter IP]")</f>
        <v>10.5.25.64/26</v>
      </c>
      <c r="E18" s="23" t="s">
        <v>207</v>
      </c>
      <c r="F18" s="23" t="str">
        <f>'IP Input Sheet'!D61</f>
        <v/>
      </c>
      <c r="G18" s="23" t="s">
        <v>277</v>
      </c>
      <c r="H18" s="23" t="s">
        <v>278</v>
      </c>
      <c r="I18" s="23" t="s">
        <v>316</v>
      </c>
      <c r="J18" s="24" t="s">
        <v>254</v>
      </c>
      <c r="K18" s="25" t="s">
        <v>255</v>
      </c>
      <c r="L18" s="23" t="s">
        <v>256</v>
      </c>
      <c r="M18" s="2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6" t="s">
        <v>317</v>
      </c>
      <c r="B19" s="26" t="s">
        <v>318</v>
      </c>
      <c r="C19" s="26" t="s">
        <v>14</v>
      </c>
      <c r="D19" s="26" t="str">
        <f>IFERROR(IF('IP Input Sheet'!D6&lt;&gt;"",'IP Input Sheet'!D6,IF('IP Input Sheet'!E6&lt;&gt;"",'IP Input Sheet'!E6,'IP Input Sheet'!F6)),"[Enter IP]")</f>
        <v>10.5.25.64/26</v>
      </c>
      <c r="E19" s="26" t="s">
        <v>203</v>
      </c>
      <c r="F19" s="26" t="str">
        <f>'IP Input Sheet'!D60</f>
        <v/>
      </c>
      <c r="G19" s="26" t="s">
        <v>271</v>
      </c>
      <c r="H19" s="26" t="s">
        <v>272</v>
      </c>
      <c r="I19" s="26" t="s">
        <v>319</v>
      </c>
      <c r="J19" s="24" t="s">
        <v>254</v>
      </c>
      <c r="K19" s="25" t="s">
        <v>255</v>
      </c>
      <c r="L19" s="26" t="s">
        <v>256</v>
      </c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3" t="s">
        <v>320</v>
      </c>
      <c r="B20" s="23" t="s">
        <v>321</v>
      </c>
      <c r="C20" s="23" t="s">
        <v>14</v>
      </c>
      <c r="D20" s="23" t="str">
        <f>IFERROR(IF('IP Input Sheet'!D6&lt;&gt;"",'IP Input Sheet'!D6,IF('IP Input Sheet'!E6&lt;&gt;"",'IP Input Sheet'!E6,'IP Input Sheet'!F6)),"[Enter IP]")</f>
        <v>10.5.25.64/26</v>
      </c>
      <c r="E20" s="23" t="s">
        <v>322</v>
      </c>
      <c r="F20" s="23" t="str">
        <f>'IP Input Sheet'!D62</f>
        <v/>
      </c>
      <c r="G20" s="23" t="s">
        <v>323</v>
      </c>
      <c r="H20" s="23" t="s">
        <v>252</v>
      </c>
      <c r="I20" s="23" t="s">
        <v>324</v>
      </c>
      <c r="J20" s="24" t="s">
        <v>254</v>
      </c>
      <c r="K20" s="25" t="s">
        <v>255</v>
      </c>
      <c r="L20" s="23" t="s">
        <v>256</v>
      </c>
      <c r="M20" s="2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6" t="s">
        <v>325</v>
      </c>
      <c r="B21" s="26" t="s">
        <v>326</v>
      </c>
      <c r="C21" s="26" t="s">
        <v>14</v>
      </c>
      <c r="D21" s="26" t="str">
        <f>IFERROR(IF('IP Input Sheet'!D6&lt;&gt;"",'IP Input Sheet'!D6,IF('IP Input Sheet'!E6&lt;&gt;"",'IP Input Sheet'!E6,'IP Input Sheet'!F6)),"[Enter IP]")</f>
        <v>10.5.25.64/26</v>
      </c>
      <c r="E21" s="26" t="s">
        <v>322</v>
      </c>
      <c r="F21" s="26" t="str">
        <f>'IP Input Sheet'!D62</f>
        <v/>
      </c>
      <c r="G21" s="26" t="s">
        <v>327</v>
      </c>
      <c r="H21" s="26" t="s">
        <v>252</v>
      </c>
      <c r="I21" s="26" t="s">
        <v>328</v>
      </c>
      <c r="J21" s="24" t="s">
        <v>254</v>
      </c>
      <c r="K21" s="25" t="s">
        <v>255</v>
      </c>
      <c r="L21" s="26" t="s">
        <v>256</v>
      </c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3" t="s">
        <v>329</v>
      </c>
      <c r="B22" s="23" t="s">
        <v>330</v>
      </c>
      <c r="C22" s="23" t="s">
        <v>14</v>
      </c>
      <c r="D22" s="23" t="str">
        <f>IFERROR(IF('IP Input Sheet'!D6&lt;&gt;"",'IP Input Sheet'!D6,IF('IP Input Sheet'!E6&lt;&gt;"",'IP Input Sheet'!E6,'IP Input Sheet'!F6)),"[Enter IP]")</f>
        <v>10.5.25.64/26</v>
      </c>
      <c r="E22" s="23" t="s">
        <v>322</v>
      </c>
      <c r="F22" s="23" t="str">
        <f>'IP Input Sheet'!D62</f>
        <v/>
      </c>
      <c r="G22" s="23" t="s">
        <v>331</v>
      </c>
      <c r="H22" s="23" t="s">
        <v>252</v>
      </c>
      <c r="I22" s="23" t="s">
        <v>332</v>
      </c>
      <c r="J22" s="24" t="s">
        <v>254</v>
      </c>
      <c r="K22" s="25" t="s">
        <v>255</v>
      </c>
      <c r="L22" s="23" t="s">
        <v>256</v>
      </c>
      <c r="M22" s="2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6" t="s">
        <v>333</v>
      </c>
      <c r="B23" s="26" t="s">
        <v>334</v>
      </c>
      <c r="C23" s="26" t="s">
        <v>14</v>
      </c>
      <c r="D23" s="26" t="str">
        <f>IFERROR(IF('IP Input Sheet'!D6&lt;&gt;"",'IP Input Sheet'!D6,IF('IP Input Sheet'!E6&lt;&gt;"",'IP Input Sheet'!E6,'IP Input Sheet'!F6)),"[Enter IP]")</f>
        <v>10.5.25.64/26</v>
      </c>
      <c r="E23" s="26" t="s">
        <v>335</v>
      </c>
      <c r="F23" s="26" t="str">
        <f>IFERROR(IF('IP Input Sheet'!D64&lt;&gt;"",'IP Input Sheet'!D64,IF('IP Input Sheet'!E64&lt;&gt;"",'IP Input Sheet'!E64,'IP Input Sheet'!F64)),"[Enter IP]")</f>
        <v>N/A — shared</v>
      </c>
      <c r="G23" s="26" t="s">
        <v>287</v>
      </c>
      <c r="H23" s="26" t="s">
        <v>252</v>
      </c>
      <c r="I23" s="26" t="s">
        <v>336</v>
      </c>
      <c r="J23" s="24" t="s">
        <v>254</v>
      </c>
      <c r="K23" s="25" t="s">
        <v>255</v>
      </c>
      <c r="L23" s="26" t="s">
        <v>256</v>
      </c>
      <c r="M23" s="2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3" t="s">
        <v>337</v>
      </c>
      <c r="B24" s="23" t="s">
        <v>338</v>
      </c>
      <c r="C24" s="23" t="s">
        <v>14</v>
      </c>
      <c r="D24" s="23" t="str">
        <f>IFERROR(IF('IP Input Sheet'!D6&lt;&gt;"",'IP Input Sheet'!D6,IF('IP Input Sheet'!E6&lt;&gt;"",'IP Input Sheet'!E6,'IP Input Sheet'!F6)),"[Enter IP]")</f>
        <v>10.5.25.64/26</v>
      </c>
      <c r="E24" s="23" t="s">
        <v>36</v>
      </c>
      <c r="F24" s="23" t="str">
        <f>IFERROR(IF('IP Input Sheet'!D13&lt;&gt;"",'IP Input Sheet'!D13,IF('IP Input Sheet'!E13&lt;&gt;"",'IP Input Sheet'!E13,'IP Input Sheet'!F13)),"[Enter IP]")</f>
        <v>10.3.118.18</v>
      </c>
      <c r="G24" s="23" t="s">
        <v>339</v>
      </c>
      <c r="H24" s="23" t="s">
        <v>252</v>
      </c>
      <c r="I24" s="23" t="s">
        <v>340</v>
      </c>
      <c r="J24" s="24" t="s">
        <v>254</v>
      </c>
      <c r="K24" s="25" t="s">
        <v>255</v>
      </c>
      <c r="L24" s="23" t="s">
        <v>256</v>
      </c>
      <c r="M24" s="2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6" t="s">
        <v>341</v>
      </c>
      <c r="B25" s="26" t="s">
        <v>342</v>
      </c>
      <c r="C25" s="26" t="s">
        <v>14</v>
      </c>
      <c r="D25" s="26" t="str">
        <f>IFERROR(IF('IP Input Sheet'!D6&lt;&gt;"",'IP Input Sheet'!D6,IF('IP Input Sheet'!E6&lt;&gt;"",'IP Input Sheet'!E6,'IP Input Sheet'!F6)),"[Enter IP]")</f>
        <v>10.5.25.64/26</v>
      </c>
      <c r="E25" s="26" t="s">
        <v>36</v>
      </c>
      <c r="F25" s="26" t="str">
        <f>IFERROR(IF('IP Input Sheet'!D13&lt;&gt;"",'IP Input Sheet'!D13,IF('IP Input Sheet'!E13&lt;&gt;"",'IP Input Sheet'!E13,'IP Input Sheet'!F13)),"[Enter IP]")</f>
        <v>10.3.118.18</v>
      </c>
      <c r="G25" s="26" t="s">
        <v>251</v>
      </c>
      <c r="H25" s="26" t="s">
        <v>252</v>
      </c>
      <c r="I25" s="26" t="s">
        <v>343</v>
      </c>
      <c r="J25" s="24" t="s">
        <v>254</v>
      </c>
      <c r="K25" s="25" t="s">
        <v>255</v>
      </c>
      <c r="L25" s="26" t="s">
        <v>256</v>
      </c>
      <c r="M25" s="2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3" t="s">
        <v>344</v>
      </c>
      <c r="B26" s="23" t="s">
        <v>345</v>
      </c>
      <c r="C26" s="23" t="s">
        <v>14</v>
      </c>
      <c r="D26" s="23" t="str">
        <f>IFERROR(IF('IP Input Sheet'!D6&lt;&gt;"",'IP Input Sheet'!D6,IF('IP Input Sheet'!E6&lt;&gt;"",'IP Input Sheet'!E6,'IP Input Sheet'!F6)),"[Enter IP]")</f>
        <v>10.5.25.64/26</v>
      </c>
      <c r="E26" s="23" t="s">
        <v>282</v>
      </c>
      <c r="F26" s="23" t="str">
        <f>IFERROR(IF('IP Input Sheet'!D54&lt;&gt;"",'IP Input Sheet'!D54,IF('IP Input Sheet'!E54&lt;&gt;"",'IP Input Sheet'!E54,'IP Input Sheet'!F54)),"[Enter IP]")</f>
        <v>10.3.118.0/24</v>
      </c>
      <c r="G26" s="23" t="s">
        <v>251</v>
      </c>
      <c r="H26" s="23" t="s">
        <v>252</v>
      </c>
      <c r="I26" s="23" t="s">
        <v>346</v>
      </c>
      <c r="J26" s="24" t="s">
        <v>254</v>
      </c>
      <c r="K26" s="25" t="s">
        <v>255</v>
      </c>
      <c r="L26" s="23" t="s">
        <v>256</v>
      </c>
      <c r="M26" s="2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6" t="s">
        <v>347</v>
      </c>
      <c r="B27" s="26" t="s">
        <v>348</v>
      </c>
      <c r="C27" s="26" t="s">
        <v>14</v>
      </c>
      <c r="D27" s="26" t="str">
        <f>IFERROR(IF('IP Input Sheet'!D6&lt;&gt;"",'IP Input Sheet'!D6,IF('IP Input Sheet'!E6&lt;&gt;"",'IP Input Sheet'!E6,'IP Input Sheet'!F6)),"[Enter IP]")</f>
        <v>10.5.25.64/26</v>
      </c>
      <c r="E27" s="26" t="s">
        <v>267</v>
      </c>
      <c r="F27" s="26" t="str">
        <f>IFERROR(IF('IP Input Sheet'!D14&lt;&gt;"",'IP Input Sheet'!D14,IF('IP Input Sheet'!E14&lt;&gt;"",'IP Input Sheet'!E14,'IP Input Sheet'!F14)),"[Enter IP]")</f>
        <v>10.3.118.0/24</v>
      </c>
      <c r="G27" s="26" t="s">
        <v>251</v>
      </c>
      <c r="H27" s="26" t="s">
        <v>252</v>
      </c>
      <c r="I27" s="26" t="s">
        <v>349</v>
      </c>
      <c r="J27" s="24" t="s">
        <v>254</v>
      </c>
      <c r="K27" s="25" t="s">
        <v>255</v>
      </c>
      <c r="L27" s="26" t="s">
        <v>256</v>
      </c>
      <c r="M27" s="2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3" t="s">
        <v>350</v>
      </c>
      <c r="B28" s="23" t="s">
        <v>351</v>
      </c>
      <c r="C28" s="23" t="s">
        <v>18</v>
      </c>
      <c r="D28" s="23" t="str">
        <f>IFERROR(IF('IP Input Sheet'!D7&lt;&gt;"",'IP Input Sheet'!D7,IF('IP Input Sheet'!E7&lt;&gt;"",'IP Input Sheet'!E7,'IP Input Sheet'!F7)),"[Enter IP]")</f>
        <v>10.5.25.64/26</v>
      </c>
      <c r="E28" s="23" t="s">
        <v>36</v>
      </c>
      <c r="F28" s="23" t="str">
        <f>IFERROR(IF('IP Input Sheet'!D13&lt;&gt;"",'IP Input Sheet'!D13,IF('IP Input Sheet'!E13&lt;&gt;"",'IP Input Sheet'!E13,'IP Input Sheet'!F13)),"[Enter IP]")</f>
        <v>10.3.118.18</v>
      </c>
      <c r="G28" s="23" t="s">
        <v>251</v>
      </c>
      <c r="H28" s="23" t="s">
        <v>252</v>
      </c>
      <c r="I28" s="23" t="s">
        <v>352</v>
      </c>
      <c r="J28" s="24" t="s">
        <v>254</v>
      </c>
      <c r="K28" s="25" t="s">
        <v>255</v>
      </c>
      <c r="L28" s="23" t="s">
        <v>261</v>
      </c>
      <c r="M28" s="2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6" t="s">
        <v>353</v>
      </c>
      <c r="B29" s="26" t="s">
        <v>354</v>
      </c>
      <c r="C29" s="26" t="s">
        <v>18</v>
      </c>
      <c r="D29" s="26" t="str">
        <f>IFERROR(IF('IP Input Sheet'!D7&lt;&gt;"",'IP Input Sheet'!D7,IF('IP Input Sheet'!E7&lt;&gt;"",'IP Input Sheet'!E7,'IP Input Sheet'!F7)),"[Enter IP]")</f>
        <v>10.5.25.64/26</v>
      </c>
      <c r="E29" s="26" t="s">
        <v>282</v>
      </c>
      <c r="F29" s="26" t="str">
        <f>IFERROR(IF('IP Input Sheet'!D54&lt;&gt;"",'IP Input Sheet'!D54,IF('IP Input Sheet'!E54&lt;&gt;"",'IP Input Sheet'!E54,'IP Input Sheet'!F54)),"[Enter IP]")</f>
        <v>10.3.118.0/24</v>
      </c>
      <c r="G29" s="26" t="s">
        <v>355</v>
      </c>
      <c r="H29" s="26" t="s">
        <v>252</v>
      </c>
      <c r="I29" s="26" t="s">
        <v>356</v>
      </c>
      <c r="J29" s="24" t="s">
        <v>254</v>
      </c>
      <c r="K29" s="25" t="s">
        <v>255</v>
      </c>
      <c r="L29" s="26" t="s">
        <v>256</v>
      </c>
      <c r="M29" s="2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3" t="s">
        <v>357</v>
      </c>
      <c r="B30" s="23" t="s">
        <v>358</v>
      </c>
      <c r="C30" s="23" t="s">
        <v>18</v>
      </c>
      <c r="D30" s="23" t="str">
        <f>IFERROR(IF('IP Input Sheet'!D7&lt;&gt;"",'IP Input Sheet'!D7,IF('IP Input Sheet'!E7&lt;&gt;"",'IP Input Sheet'!E7,'IP Input Sheet'!F7)),"[Enter IP]")</f>
        <v>10.5.25.64/26</v>
      </c>
      <c r="E30" s="23" t="s">
        <v>282</v>
      </c>
      <c r="F30" s="23" t="str">
        <f>IFERROR(IF('IP Input Sheet'!D54&lt;&gt;"",'IP Input Sheet'!D54,IF('IP Input Sheet'!E54&lt;&gt;"",'IP Input Sheet'!E54,'IP Input Sheet'!F54)),"[Enter IP]")</f>
        <v>10.3.118.0/24</v>
      </c>
      <c r="G30" s="23" t="s">
        <v>251</v>
      </c>
      <c r="H30" s="23" t="s">
        <v>252</v>
      </c>
      <c r="I30" s="23" t="s">
        <v>359</v>
      </c>
      <c r="J30" s="24" t="s">
        <v>254</v>
      </c>
      <c r="K30" s="25" t="s">
        <v>255</v>
      </c>
      <c r="L30" s="23" t="s">
        <v>261</v>
      </c>
      <c r="M30" s="2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6" t="s">
        <v>360</v>
      </c>
      <c r="B31" s="26" t="s">
        <v>361</v>
      </c>
      <c r="C31" s="26" t="s">
        <v>18</v>
      </c>
      <c r="D31" s="26" t="str">
        <f>IFERROR(IF('IP Input Sheet'!D7&lt;&gt;"",'IP Input Sheet'!D7,IF('IP Input Sheet'!E7&lt;&gt;"",'IP Input Sheet'!E7,'IP Input Sheet'!F7)),"[Enter IP]")</f>
        <v>10.5.25.64/26</v>
      </c>
      <c r="E31" s="26" t="s">
        <v>282</v>
      </c>
      <c r="F31" s="26" t="str">
        <f>IFERROR(IF('IP Input Sheet'!D54&lt;&gt;"",'IP Input Sheet'!D54,IF('IP Input Sheet'!E54&lt;&gt;"",'IP Input Sheet'!E54,'IP Input Sheet'!F54)),"[Enter IP]")</f>
        <v>10.3.118.0/24</v>
      </c>
      <c r="G31" s="26" t="s">
        <v>287</v>
      </c>
      <c r="H31" s="26" t="s">
        <v>252</v>
      </c>
      <c r="I31" s="26" t="s">
        <v>362</v>
      </c>
      <c r="J31" s="24" t="s">
        <v>254</v>
      </c>
      <c r="K31" s="25" t="s">
        <v>255</v>
      </c>
      <c r="L31" s="26" t="s">
        <v>261</v>
      </c>
      <c r="M31" s="26" t="s">
        <v>363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3" t="s">
        <v>364</v>
      </c>
      <c r="B32" s="23" t="s">
        <v>365</v>
      </c>
      <c r="C32" s="23" t="s">
        <v>18</v>
      </c>
      <c r="D32" s="23" t="str">
        <f>IFERROR(IF('IP Input Sheet'!D7&lt;&gt;"",'IP Input Sheet'!D7,IF('IP Input Sheet'!E7&lt;&gt;"",'IP Input Sheet'!E7,'IP Input Sheet'!F7)),"[Enter IP]")</f>
        <v>10.5.25.64/26</v>
      </c>
      <c r="E32" s="23" t="s">
        <v>366</v>
      </c>
      <c r="F32" s="23" t="str">
        <f>IFERROR(IF('IP Input Sheet'!D14&lt;&gt;"",'IP Input Sheet'!D14,IF('IP Input Sheet'!E14&lt;&gt;"",'IP Input Sheet'!E14,'IP Input Sheet'!F14)),"[Enter IP]")</f>
        <v>10.3.118.0/24</v>
      </c>
      <c r="G32" s="23" t="s">
        <v>251</v>
      </c>
      <c r="H32" s="23" t="s">
        <v>252</v>
      </c>
      <c r="I32" s="23" t="s">
        <v>367</v>
      </c>
      <c r="J32" s="24" t="s">
        <v>254</v>
      </c>
      <c r="K32" s="25" t="s">
        <v>255</v>
      </c>
      <c r="L32" s="23" t="s">
        <v>261</v>
      </c>
      <c r="M32" s="2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6" t="s">
        <v>368</v>
      </c>
      <c r="B33" s="26" t="s">
        <v>369</v>
      </c>
      <c r="C33" s="26" t="s">
        <v>18</v>
      </c>
      <c r="D33" s="26" t="str">
        <f>IFERROR(IF('IP Input Sheet'!D7&lt;&gt;"",'IP Input Sheet'!D7,IF('IP Input Sheet'!E7&lt;&gt;"",'IP Input Sheet'!E7,'IP Input Sheet'!F7)),"[Enter IP]")</f>
        <v>10.5.25.64/26</v>
      </c>
      <c r="E33" s="26" t="s">
        <v>370</v>
      </c>
      <c r="F33" s="26" t="str">
        <f>IFERROR(IF('IP Input Sheet'!D13&lt;&gt;"",'IP Input Sheet'!D13,IF('IP Input Sheet'!E13&lt;&gt;"",'IP Input Sheet'!E13,'IP Input Sheet'!F13)),"[Enter IP]")</f>
        <v>10.3.118.18</v>
      </c>
      <c r="G33" s="26" t="s">
        <v>251</v>
      </c>
      <c r="H33" s="26" t="s">
        <v>252</v>
      </c>
      <c r="I33" s="26" t="s">
        <v>371</v>
      </c>
      <c r="J33" s="24" t="s">
        <v>254</v>
      </c>
      <c r="K33" s="25" t="s">
        <v>255</v>
      </c>
      <c r="L33" s="26" t="s">
        <v>256</v>
      </c>
      <c r="M33" s="2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3" t="s">
        <v>372</v>
      </c>
      <c r="B34" s="23" t="s">
        <v>373</v>
      </c>
      <c r="C34" s="23" t="s">
        <v>18</v>
      </c>
      <c r="D34" s="23" t="str">
        <f>IFERROR(IF('IP Input Sheet'!D7&lt;&gt;"",'IP Input Sheet'!D7,IF('IP Input Sheet'!E7&lt;&gt;"",'IP Input Sheet'!E7,'IP Input Sheet'!F7)),"[Enter IP]")</f>
        <v>10.5.25.64/26</v>
      </c>
      <c r="E34" s="23" t="s">
        <v>370</v>
      </c>
      <c r="F34" s="23" t="str">
        <f>IFERROR(IF('IP Input Sheet'!D13&lt;&gt;"",'IP Input Sheet'!D13,IF('IP Input Sheet'!E13&lt;&gt;"",'IP Input Sheet'!E13,'IP Input Sheet'!F13)),"[Enter IP]")</f>
        <v>10.3.118.18</v>
      </c>
      <c r="G34" s="23" t="s">
        <v>293</v>
      </c>
      <c r="H34" s="23" t="s">
        <v>252</v>
      </c>
      <c r="I34" s="23" t="s">
        <v>374</v>
      </c>
      <c r="J34" s="24" t="s">
        <v>254</v>
      </c>
      <c r="K34" s="25" t="s">
        <v>255</v>
      </c>
      <c r="L34" s="23" t="s">
        <v>256</v>
      </c>
      <c r="M34" s="2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6" t="s">
        <v>375</v>
      </c>
      <c r="B35" s="26" t="s">
        <v>376</v>
      </c>
      <c r="C35" s="26" t="s">
        <v>377</v>
      </c>
      <c r="D35" s="26" t="str">
        <f>IFERROR(IF('IP Input Sheet'!D9&lt;&gt;"",'IP Input Sheet'!D9,IF('IP Input Sheet'!E9&lt;&gt;"",'IP Input Sheet'!E9,'IP Input Sheet'!F9)),"[Enter IP]")</f>
        <v>10.5.25.64/26</v>
      </c>
      <c r="E35" s="26" t="s">
        <v>36</v>
      </c>
      <c r="F35" s="26" t="str">
        <f>IFERROR(IF('IP Input Sheet'!D13&lt;&gt;"",'IP Input Sheet'!D13,IF('IP Input Sheet'!E13&lt;&gt;"",'IP Input Sheet'!E13,'IP Input Sheet'!F13)),"[Enter IP]")</f>
        <v>10.3.118.18</v>
      </c>
      <c r="G35" s="26" t="s">
        <v>378</v>
      </c>
      <c r="H35" s="26" t="s">
        <v>252</v>
      </c>
      <c r="I35" s="26" t="s">
        <v>379</v>
      </c>
      <c r="J35" s="24" t="s">
        <v>254</v>
      </c>
      <c r="K35" s="25" t="s">
        <v>255</v>
      </c>
      <c r="L35" s="26" t="s">
        <v>256</v>
      </c>
      <c r="M35" s="26" t="s">
        <v>380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3" t="s">
        <v>381</v>
      </c>
      <c r="B36" s="23" t="s">
        <v>382</v>
      </c>
      <c r="C36" s="23" t="s">
        <v>377</v>
      </c>
      <c r="D36" s="23" t="str">
        <f>IFERROR(IF('IP Input Sheet'!D9&lt;&gt;"",'IP Input Sheet'!D9,IF('IP Input Sheet'!E9&lt;&gt;"",'IP Input Sheet'!E9,'IP Input Sheet'!F9)),"[Enter IP]")</f>
        <v>10.5.25.64/26</v>
      </c>
      <c r="E36" s="23" t="s">
        <v>282</v>
      </c>
      <c r="F36" s="23" t="str">
        <f>IFERROR(IF('IP Input Sheet'!D54&lt;&gt;"",'IP Input Sheet'!D54,IF('IP Input Sheet'!E54&lt;&gt;"",'IP Input Sheet'!E54,'IP Input Sheet'!F54)),"[Enter IP]")</f>
        <v>10.3.118.0/24</v>
      </c>
      <c r="G36" s="23" t="s">
        <v>383</v>
      </c>
      <c r="H36" s="23" t="s">
        <v>272</v>
      </c>
      <c r="I36" s="23" t="s">
        <v>384</v>
      </c>
      <c r="J36" s="24" t="s">
        <v>254</v>
      </c>
      <c r="K36" s="25" t="s">
        <v>255</v>
      </c>
      <c r="L36" s="23" t="s">
        <v>256</v>
      </c>
      <c r="M36" s="2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6" t="s">
        <v>385</v>
      </c>
      <c r="B37" s="26" t="s">
        <v>386</v>
      </c>
      <c r="C37" s="26" t="s">
        <v>377</v>
      </c>
      <c r="D37" s="26" t="str">
        <f>IFERROR(IF('IP Input Sheet'!D9&lt;&gt;"",'IP Input Sheet'!D9,IF('IP Input Sheet'!E9&lt;&gt;"",'IP Input Sheet'!E9,'IP Input Sheet'!F9)),"[Enter IP]")</f>
        <v>10.5.25.64/26</v>
      </c>
      <c r="E37" s="26" t="s">
        <v>267</v>
      </c>
      <c r="F37" s="26" t="str">
        <f>IFERROR(IF('IP Input Sheet'!D14&lt;&gt;"",'IP Input Sheet'!D14,IF('IP Input Sheet'!E14&lt;&gt;"",'IP Input Sheet'!E14,'IP Input Sheet'!F14)),"[Enter IP]")</f>
        <v>10.3.118.0/24</v>
      </c>
      <c r="G37" s="26" t="s">
        <v>251</v>
      </c>
      <c r="H37" s="26" t="s">
        <v>252</v>
      </c>
      <c r="I37" s="26" t="s">
        <v>387</v>
      </c>
      <c r="J37" s="24" t="s">
        <v>254</v>
      </c>
      <c r="K37" s="25" t="s">
        <v>255</v>
      </c>
      <c r="L37" s="26" t="s">
        <v>256</v>
      </c>
      <c r="M37" s="2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23" t="s">
        <v>388</v>
      </c>
      <c r="B38" s="23" t="s">
        <v>389</v>
      </c>
      <c r="C38" s="23" t="s">
        <v>377</v>
      </c>
      <c r="D38" s="23" t="str">
        <f>IFERROR(IF('IP Input Sheet'!D9&lt;&gt;"",'IP Input Sheet'!D9,IF('IP Input Sheet'!E9&lt;&gt;"",'IP Input Sheet'!E9,'IP Input Sheet'!F9)),"[Enter IP]")</f>
        <v>10.5.25.64/26</v>
      </c>
      <c r="E38" s="23" t="s">
        <v>203</v>
      </c>
      <c r="F38" s="23" t="str">
        <f>'IP Input Sheet'!D60</f>
        <v/>
      </c>
      <c r="G38" s="23" t="s">
        <v>271</v>
      </c>
      <c r="H38" s="23" t="s">
        <v>252</v>
      </c>
      <c r="I38" s="23" t="s">
        <v>390</v>
      </c>
      <c r="J38" s="24" t="s">
        <v>254</v>
      </c>
      <c r="K38" s="25" t="s">
        <v>255</v>
      </c>
      <c r="L38" s="23" t="s">
        <v>256</v>
      </c>
      <c r="M38" s="2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26" t="s">
        <v>391</v>
      </c>
      <c r="B39" s="26" t="s">
        <v>392</v>
      </c>
      <c r="C39" s="26" t="s">
        <v>377</v>
      </c>
      <c r="D39" s="26" t="str">
        <f>IFERROR(IF('IP Input Sheet'!D9&lt;&gt;"",'IP Input Sheet'!D9,IF('IP Input Sheet'!E9&lt;&gt;"",'IP Input Sheet'!E9,'IP Input Sheet'!F9)),"[Enter IP]")</f>
        <v>10.5.25.64/26</v>
      </c>
      <c r="E39" s="26" t="s">
        <v>207</v>
      </c>
      <c r="F39" s="26" t="str">
        <f>'IP Input Sheet'!D61</f>
        <v/>
      </c>
      <c r="G39" s="26" t="s">
        <v>277</v>
      </c>
      <c r="H39" s="26" t="s">
        <v>278</v>
      </c>
      <c r="I39" s="26" t="s">
        <v>393</v>
      </c>
      <c r="J39" s="24" t="s">
        <v>254</v>
      </c>
      <c r="K39" s="25" t="s">
        <v>255</v>
      </c>
      <c r="L39" s="26" t="s">
        <v>256</v>
      </c>
      <c r="M39" s="2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3" t="s">
        <v>394</v>
      </c>
      <c r="B40" s="23" t="s">
        <v>395</v>
      </c>
      <c r="C40" s="23" t="s">
        <v>377</v>
      </c>
      <c r="D40" s="23" t="str">
        <f>IFERROR(IF('IP Input Sheet'!D9&lt;&gt;"",'IP Input Sheet'!D9,IF('IP Input Sheet'!E9&lt;&gt;"",'IP Input Sheet'!E9,'IP Input Sheet'!F9)),"[Enter IP]")</f>
        <v>10.5.25.64/26</v>
      </c>
      <c r="E40" s="23" t="s">
        <v>396</v>
      </c>
      <c r="F40" s="23" t="s">
        <v>397</v>
      </c>
      <c r="G40" s="23" t="s">
        <v>398</v>
      </c>
      <c r="H40" s="23" t="s">
        <v>252</v>
      </c>
      <c r="I40" s="23" t="s">
        <v>399</v>
      </c>
      <c r="J40" s="24" t="s">
        <v>254</v>
      </c>
      <c r="K40" s="25" t="s">
        <v>255</v>
      </c>
      <c r="L40" s="23" t="s">
        <v>256</v>
      </c>
      <c r="M40" s="23" t="s">
        <v>400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6" t="s">
        <v>401</v>
      </c>
      <c r="B41" s="26" t="s">
        <v>402</v>
      </c>
      <c r="C41" s="26" t="s">
        <v>377</v>
      </c>
      <c r="D41" s="26" t="str">
        <f>IFERROR(IF('IP Input Sheet'!D9&lt;&gt;"",'IP Input Sheet'!D9,IF('IP Input Sheet'!E9&lt;&gt;"",'IP Input Sheet'!E9,'IP Input Sheet'!F9)),"[Enter IP]")</f>
        <v>10.5.25.64/26</v>
      </c>
      <c r="E41" s="26" t="s">
        <v>403</v>
      </c>
      <c r="F41" s="26" t="str">
        <f>IFERROR(IF('IP Input Sheet'!D19&lt;&gt;"",'IP Input Sheet'!D19,IF('IP Input Sheet'!E19&lt;&gt;"",'IP Input Sheet'!E19,'IP Input Sheet'!F19)),"[Enter IP]")</f>
        <v>10.3.118.101</v>
      </c>
      <c r="G41" s="26" t="s">
        <v>251</v>
      </c>
      <c r="H41" s="26" t="s">
        <v>252</v>
      </c>
      <c r="I41" s="26" t="s">
        <v>404</v>
      </c>
      <c r="J41" s="24" t="s">
        <v>254</v>
      </c>
      <c r="K41" s="25" t="s">
        <v>255</v>
      </c>
      <c r="L41" s="26" t="s">
        <v>256</v>
      </c>
      <c r="M41" s="26" t="s">
        <v>405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23" t="s">
        <v>406</v>
      </c>
      <c r="B42" s="23" t="s">
        <v>407</v>
      </c>
      <c r="C42" s="23" t="s">
        <v>377</v>
      </c>
      <c r="D42" s="23" t="str">
        <f>IFERROR(IF('IP Input Sheet'!D9&lt;&gt;"",'IP Input Sheet'!D9,IF('IP Input Sheet'!E9&lt;&gt;"",'IP Input Sheet'!E9,'IP Input Sheet'!F9)),"[Enter IP]")</f>
        <v>10.5.25.64/26</v>
      </c>
      <c r="E42" s="23" t="s">
        <v>403</v>
      </c>
      <c r="F42" s="23" t="str">
        <f>IFERROR(IF('IP Input Sheet'!D19&lt;&gt;"",'IP Input Sheet'!D19,IF('IP Input Sheet'!E19&lt;&gt;"",'IP Input Sheet'!E19,'IP Input Sheet'!F19)),"[Enter IP]")</f>
        <v>10.3.118.101</v>
      </c>
      <c r="G42" s="23" t="s">
        <v>287</v>
      </c>
      <c r="H42" s="23" t="s">
        <v>252</v>
      </c>
      <c r="I42" s="23" t="s">
        <v>408</v>
      </c>
      <c r="J42" s="24" t="s">
        <v>254</v>
      </c>
      <c r="K42" s="25" t="s">
        <v>255</v>
      </c>
      <c r="L42" s="23" t="s">
        <v>256</v>
      </c>
      <c r="M42" s="23" t="s">
        <v>409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6" t="s">
        <v>410</v>
      </c>
      <c r="B43" s="26" t="s">
        <v>411</v>
      </c>
      <c r="C43" s="26" t="s">
        <v>14</v>
      </c>
      <c r="D43" s="26" t="str">
        <f>IFERROR(IF('IP Input Sheet'!D6&lt;&gt;"",'IP Input Sheet'!D6,IF('IP Input Sheet'!E6&lt;&gt;"",'IP Input Sheet'!E6,'IP Input Sheet'!F6)),"[Enter IP]")</f>
        <v>10.5.25.64/26</v>
      </c>
      <c r="E43" s="26" t="s">
        <v>403</v>
      </c>
      <c r="F43" s="26" t="str">
        <f>IFERROR(IF('IP Input Sheet'!D19&lt;&gt;"",'IP Input Sheet'!D19,IF('IP Input Sheet'!E19&lt;&gt;"",'IP Input Sheet'!E19,'IP Input Sheet'!F19)),"[Enter IP]")</f>
        <v>10.3.118.101</v>
      </c>
      <c r="G43" s="26" t="s">
        <v>251</v>
      </c>
      <c r="H43" s="26" t="s">
        <v>252</v>
      </c>
      <c r="I43" s="26" t="s">
        <v>412</v>
      </c>
      <c r="J43" s="24" t="s">
        <v>254</v>
      </c>
      <c r="K43" s="25" t="s">
        <v>255</v>
      </c>
      <c r="L43" s="26" t="s">
        <v>256</v>
      </c>
      <c r="M43" s="26" t="s">
        <v>413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7" t="s">
        <v>414</v>
      </c>
      <c r="B44" s="27" t="s">
        <v>415</v>
      </c>
      <c r="C44" s="27" t="s">
        <v>416</v>
      </c>
      <c r="D44" s="27" t="str">
        <f>IFERROR(IF('IP Input Sheet'!D22&lt;&gt;"",'IP Input Sheet'!D22,IF('IP Input Sheet'!E22&lt;&gt;"",'IP Input Sheet'!E22,'IP Input Sheet'!F22)),"[Enter IP]")</f>
        <v>10.3.111.101</v>
      </c>
      <c r="E44" s="27" t="s">
        <v>417</v>
      </c>
      <c r="F44" s="27" t="str">
        <f>IFERROR(IF('IP Input Sheet'!D32&lt;&gt;"",'IP Input Sheet'!D32,IF('IP Input Sheet'!E32&lt;&gt;"",'IP Input Sheet'!E32,'IP Input Sheet'!F32)),"[Enter IP]")</f>
        <v>10.3.111.97</v>
      </c>
      <c r="G44" s="27" t="s">
        <v>418</v>
      </c>
      <c r="H44" s="27" t="s">
        <v>252</v>
      </c>
      <c r="I44" s="27" t="s">
        <v>419</v>
      </c>
      <c r="J44" s="24" t="s">
        <v>254</v>
      </c>
      <c r="K44" s="28" t="s">
        <v>255</v>
      </c>
      <c r="L44" s="27" t="s">
        <v>261</v>
      </c>
      <c r="M44" s="27" t="s">
        <v>420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9" t="s">
        <v>421</v>
      </c>
      <c r="B45" s="29" t="s">
        <v>422</v>
      </c>
      <c r="C45" s="29" t="s">
        <v>423</v>
      </c>
      <c r="D45" s="29" t="str">
        <f>IFERROR(IF('IP Input Sheet'!D23&lt;&gt;"",'IP Input Sheet'!D23,IF('IP Input Sheet'!E23&lt;&gt;"",'IP Input Sheet'!E23,'IP Input Sheet'!F23)),"[Enter IP]")</f>
        <v>10.3.111.121</v>
      </c>
      <c r="E45" s="29" t="s">
        <v>424</v>
      </c>
      <c r="F45" s="29" t="str">
        <f>IFERROR(IF('IP Input Sheet'!D33&lt;&gt;"",'IP Input Sheet'!D33,IF('IP Input Sheet'!E33&lt;&gt;"",'IP Input Sheet'!E33,'IP Input Sheet'!F33)),"[Enter IP]")</f>
        <v>10.3.111.113</v>
      </c>
      <c r="G45" s="29" t="s">
        <v>418</v>
      </c>
      <c r="H45" s="29" t="s">
        <v>252</v>
      </c>
      <c r="I45" s="29" t="s">
        <v>419</v>
      </c>
      <c r="J45" s="24" t="s">
        <v>254</v>
      </c>
      <c r="K45" s="28" t="s">
        <v>255</v>
      </c>
      <c r="L45" s="29" t="s">
        <v>261</v>
      </c>
      <c r="M45" s="29" t="s">
        <v>425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7" t="s">
        <v>426</v>
      </c>
      <c r="B46" s="27" t="s">
        <v>427</v>
      </c>
      <c r="C46" s="27" t="s">
        <v>428</v>
      </c>
      <c r="D46" s="27" t="str">
        <f>IFERROR(IF('IP Input Sheet'!D24&lt;&gt;"",'IP Input Sheet'!D24,IF('IP Input Sheet'!E24&lt;&gt;"",'IP Input Sheet'!E24,'IP Input Sheet'!F24)),"[Enter IP]")</f>
        <v>10.3.111.102</v>
      </c>
      <c r="E46" s="27" t="s">
        <v>417</v>
      </c>
      <c r="F46" s="27" t="str">
        <f>IFERROR(IF('IP Input Sheet'!D32&lt;&gt;"",'IP Input Sheet'!D32,IF('IP Input Sheet'!E32&lt;&gt;"",'IP Input Sheet'!E32,'IP Input Sheet'!F32)),"[Enter IP]")</f>
        <v>10.3.111.97</v>
      </c>
      <c r="G46" s="27" t="s">
        <v>418</v>
      </c>
      <c r="H46" s="27" t="s">
        <v>252</v>
      </c>
      <c r="I46" s="27" t="s">
        <v>419</v>
      </c>
      <c r="J46" s="24" t="s">
        <v>254</v>
      </c>
      <c r="K46" s="28" t="s">
        <v>255</v>
      </c>
      <c r="L46" s="27" t="s">
        <v>261</v>
      </c>
      <c r="M46" s="27" t="s">
        <v>429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9" t="s">
        <v>430</v>
      </c>
      <c r="B47" s="29" t="s">
        <v>431</v>
      </c>
      <c r="C47" s="29" t="s">
        <v>432</v>
      </c>
      <c r="D47" s="29" t="str">
        <f>IFERROR(IF('IP Input Sheet'!D25&lt;&gt;"",'IP Input Sheet'!D25,IF('IP Input Sheet'!E25&lt;&gt;"",'IP Input Sheet'!E25,'IP Input Sheet'!F25)),"[Enter IP]")</f>
        <v>10.3.111.122</v>
      </c>
      <c r="E47" s="29" t="s">
        <v>424</v>
      </c>
      <c r="F47" s="29" t="str">
        <f>IFERROR(IF('IP Input Sheet'!D33&lt;&gt;"",'IP Input Sheet'!D33,IF('IP Input Sheet'!E33&lt;&gt;"",'IP Input Sheet'!E33,'IP Input Sheet'!F33)),"[Enter IP]")</f>
        <v>10.3.111.113</v>
      </c>
      <c r="G47" s="29" t="s">
        <v>418</v>
      </c>
      <c r="H47" s="29" t="s">
        <v>252</v>
      </c>
      <c r="I47" s="29" t="s">
        <v>419</v>
      </c>
      <c r="J47" s="24" t="s">
        <v>254</v>
      </c>
      <c r="K47" s="28" t="s">
        <v>255</v>
      </c>
      <c r="L47" s="29" t="s">
        <v>261</v>
      </c>
      <c r="M47" s="29" t="s">
        <v>433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7" t="s">
        <v>434</v>
      </c>
      <c r="B48" s="27" t="s">
        <v>435</v>
      </c>
      <c r="C48" s="27" t="s">
        <v>436</v>
      </c>
      <c r="D48" s="27" t="str">
        <f>IFERROR(IF('IP Input Sheet'!D26&lt;&gt;"",'IP Input Sheet'!D26,IF('IP Input Sheet'!E26&lt;&gt;"",'IP Input Sheet'!E26,'IP Input Sheet'!F26)),"[Enter IP]")</f>
        <v>10.3.111.133</v>
      </c>
      <c r="E48" s="27" t="s">
        <v>437</v>
      </c>
      <c r="F48" s="27" t="str">
        <f>IFERROR(IF('IP Input Sheet'!D34&lt;&gt;"",'IP Input Sheet'!D34,IF('IP Input Sheet'!E34&lt;&gt;"",'IP Input Sheet'!E34,'IP Input Sheet'!F34)),"[Enter IP]")</f>
        <v>10.3.111.129</v>
      </c>
      <c r="G48" s="27" t="s">
        <v>418</v>
      </c>
      <c r="H48" s="27" t="s">
        <v>252</v>
      </c>
      <c r="I48" s="27" t="s">
        <v>419</v>
      </c>
      <c r="J48" s="24" t="s">
        <v>254</v>
      </c>
      <c r="K48" s="28" t="s">
        <v>255</v>
      </c>
      <c r="L48" s="27" t="s">
        <v>261</v>
      </c>
      <c r="M48" s="27" t="s">
        <v>438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9" t="s">
        <v>439</v>
      </c>
      <c r="B49" s="29" t="s">
        <v>440</v>
      </c>
      <c r="C49" s="29" t="s">
        <v>441</v>
      </c>
      <c r="D49" s="29" t="str">
        <f>IFERROR(IF('IP Input Sheet'!D27&lt;&gt;"",'IP Input Sheet'!D27,IF('IP Input Sheet'!E27&lt;&gt;"",'IP Input Sheet'!E27,'IP Input Sheet'!F27)),"[Enter IP]")</f>
        <v>10.3.111.153</v>
      </c>
      <c r="E49" s="29" t="s">
        <v>442</v>
      </c>
      <c r="F49" s="29" t="str">
        <f>IFERROR(IF('IP Input Sheet'!D35&lt;&gt;"",'IP Input Sheet'!D35,IF('IP Input Sheet'!E35&lt;&gt;"",'IP Input Sheet'!E35,'IP Input Sheet'!F35)),"[Enter IP]")</f>
        <v/>
      </c>
      <c r="G49" s="29" t="s">
        <v>418</v>
      </c>
      <c r="H49" s="29" t="s">
        <v>252</v>
      </c>
      <c r="I49" s="29" t="s">
        <v>419</v>
      </c>
      <c r="J49" s="24" t="s">
        <v>254</v>
      </c>
      <c r="K49" s="28" t="s">
        <v>255</v>
      </c>
      <c r="L49" s="29" t="s">
        <v>261</v>
      </c>
      <c r="M49" s="29" t="s">
        <v>443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27" t="s">
        <v>444</v>
      </c>
      <c r="B50" s="27" t="s">
        <v>445</v>
      </c>
      <c r="C50" s="27" t="s">
        <v>446</v>
      </c>
      <c r="D50" s="27" t="str">
        <f>IFERROR(IF('IP Input Sheet'!D28&lt;&gt;"",'IP Input Sheet'!D28,IF('IP Input Sheet'!E28&lt;&gt;"",'IP Input Sheet'!E28,'IP Input Sheet'!F28)),"[Enter IP]")</f>
        <v>10.3.111.134</v>
      </c>
      <c r="E50" s="27" t="s">
        <v>437</v>
      </c>
      <c r="F50" s="27" t="str">
        <f>IFERROR(IF('IP Input Sheet'!D34&lt;&gt;"",'IP Input Sheet'!D34,IF('IP Input Sheet'!E34&lt;&gt;"",'IP Input Sheet'!E34,'IP Input Sheet'!F34)),"[Enter IP]")</f>
        <v>10.3.111.129</v>
      </c>
      <c r="G50" s="27" t="s">
        <v>418</v>
      </c>
      <c r="H50" s="27" t="s">
        <v>252</v>
      </c>
      <c r="I50" s="27" t="s">
        <v>419</v>
      </c>
      <c r="J50" s="24" t="s">
        <v>254</v>
      </c>
      <c r="K50" s="28" t="s">
        <v>255</v>
      </c>
      <c r="L50" s="27" t="s">
        <v>261</v>
      </c>
      <c r="M50" s="27" t="s">
        <v>447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9" t="s">
        <v>448</v>
      </c>
      <c r="B51" s="29" t="s">
        <v>449</v>
      </c>
      <c r="C51" s="29" t="s">
        <v>450</v>
      </c>
      <c r="D51" s="29" t="str">
        <f>IFERROR(IF('IP Input Sheet'!D29&lt;&gt;"",'IP Input Sheet'!D29,IF('IP Input Sheet'!E29&lt;&gt;"",'IP Input Sheet'!E29,'IP Input Sheet'!F29)),"[Enter IP]")</f>
        <v>10.3.111.154</v>
      </c>
      <c r="E51" s="29" t="s">
        <v>442</v>
      </c>
      <c r="F51" s="29" t="str">
        <f>IFERROR(IF('IP Input Sheet'!D35&lt;&gt;"",'IP Input Sheet'!D35,IF('IP Input Sheet'!E35&lt;&gt;"",'IP Input Sheet'!E35,'IP Input Sheet'!F35)),"[Enter IP]")</f>
        <v/>
      </c>
      <c r="G51" s="29" t="s">
        <v>418</v>
      </c>
      <c r="H51" s="29" t="s">
        <v>252</v>
      </c>
      <c r="I51" s="29" t="s">
        <v>419</v>
      </c>
      <c r="J51" s="24" t="s">
        <v>254</v>
      </c>
      <c r="K51" s="28" t="s">
        <v>255</v>
      </c>
      <c r="L51" s="29" t="s">
        <v>261</v>
      </c>
      <c r="M51" s="29" t="s">
        <v>451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27" t="s">
        <v>452</v>
      </c>
      <c r="B52" s="27" t="s">
        <v>453</v>
      </c>
      <c r="C52" s="27" t="s">
        <v>454</v>
      </c>
      <c r="D52" s="27" t="str">
        <f>IFERROR(IF('IP Input Sheet'!D30&lt;&gt;"",'IP Input Sheet'!D30,IF('IP Input Sheet'!E30&lt;&gt;"",'IP Input Sheet'!E30,'IP Input Sheet'!F30)),"[Enter IP]")</f>
        <v>10.5.236.0/24</v>
      </c>
      <c r="E52" s="27" t="s">
        <v>455</v>
      </c>
      <c r="F52" s="27" t="str">
        <f>IFERROR(IF('IP Input Sheet'!D18&lt;&gt;"",'IP Input Sheet'!D18,IF('IP Input Sheet'!E18&lt;&gt;"",'IP Input Sheet'!E18,'IP Input Sheet'!F18)),"[Enter IP]")</f>
        <v>10.3.118.0/24</v>
      </c>
      <c r="G52" s="27" t="s">
        <v>456</v>
      </c>
      <c r="H52" s="27" t="s">
        <v>278</v>
      </c>
      <c r="I52" s="27" t="s">
        <v>457</v>
      </c>
      <c r="J52" s="24" t="s">
        <v>254</v>
      </c>
      <c r="K52" s="28" t="s">
        <v>255</v>
      </c>
      <c r="L52" s="27" t="s">
        <v>261</v>
      </c>
      <c r="M52" s="27" t="s">
        <v>458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29" t="s">
        <v>459</v>
      </c>
      <c r="B53" s="29" t="s">
        <v>460</v>
      </c>
      <c r="C53" s="29" t="s">
        <v>454</v>
      </c>
      <c r="D53" s="29" t="str">
        <f>IFERROR(IF('IP Input Sheet'!D30&lt;&gt;"",'IP Input Sheet'!D30,IF('IP Input Sheet'!E30&lt;&gt;"",'IP Input Sheet'!E30,'IP Input Sheet'!F30)),"[Enter IP]")</f>
        <v>10.5.236.0/24</v>
      </c>
      <c r="E53" s="29" t="s">
        <v>461</v>
      </c>
      <c r="F53" s="29" t="str">
        <f>IFERROR(IF('IP Input Sheet'!D30&lt;&gt;"",'IP Input Sheet'!D30,IF('IP Input Sheet'!E30&lt;&gt;"",'IP Input Sheet'!E30,'IP Input Sheet'!F30)),"[Enter IP]")</f>
        <v>10.5.236.0/24</v>
      </c>
      <c r="G53" s="29" t="s">
        <v>456</v>
      </c>
      <c r="H53" s="29" t="s">
        <v>278</v>
      </c>
      <c r="I53" s="29" t="s">
        <v>462</v>
      </c>
      <c r="J53" s="24" t="s">
        <v>254</v>
      </c>
      <c r="K53" s="28" t="s">
        <v>255</v>
      </c>
      <c r="L53" s="29" t="s">
        <v>261</v>
      </c>
      <c r="M53" s="29" t="s">
        <v>463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27" t="s">
        <v>464</v>
      </c>
      <c r="B54" s="27" t="s">
        <v>465</v>
      </c>
      <c r="C54" s="27" t="s">
        <v>466</v>
      </c>
      <c r="D54" s="27" t="str">
        <f>IFERROR(IF('IP Input Sheet'!D31&lt;&gt;"",'IP Input Sheet'!D31,IF('IP Input Sheet'!E31&lt;&gt;"",'IP Input Sheet'!E31,'IP Input Sheet'!F31)),"[Enter IP]")</f>
        <v>10.5.22.0/24</v>
      </c>
      <c r="E54" s="27" t="s">
        <v>467</v>
      </c>
      <c r="F54" s="27" t="str">
        <f>IFERROR(IF('IP Input Sheet'!D31&lt;&gt;"",'IP Input Sheet'!D31,IF('IP Input Sheet'!E31&lt;&gt;"",'IP Input Sheet'!E31,'IP Input Sheet'!F31)),"[Enter IP]")</f>
        <v>10.5.22.0/24</v>
      </c>
      <c r="G54" s="27" t="s">
        <v>456</v>
      </c>
      <c r="H54" s="27" t="s">
        <v>278</v>
      </c>
      <c r="I54" s="27" t="s">
        <v>468</v>
      </c>
      <c r="J54" s="24" t="s">
        <v>254</v>
      </c>
      <c r="K54" s="28" t="s">
        <v>255</v>
      </c>
      <c r="L54" s="27" t="s">
        <v>261</v>
      </c>
      <c r="M54" s="27" t="s">
        <v>469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29" t="s">
        <v>470</v>
      </c>
      <c r="B55" s="29" t="s">
        <v>471</v>
      </c>
      <c r="C55" s="29" t="s">
        <v>472</v>
      </c>
      <c r="D55" s="29" t="str">
        <f>IFERROR(IF('IP Input Sheet'!D22&lt;&gt;"",'IP Input Sheet'!D22,IF('IP Input Sheet'!E22&lt;&gt;"",'IP Input Sheet'!E22,'IP Input Sheet'!F22)),"[Enter IP]")</f>
        <v>10.3.111.101</v>
      </c>
      <c r="E55" s="29" t="s">
        <v>473</v>
      </c>
      <c r="F55" s="29" t="str">
        <f>IFERROR(IF('IP Input Sheet'!D32&lt;&gt;"",'IP Input Sheet'!D32,IF('IP Input Sheet'!E32&lt;&gt;"",'IP Input Sheet'!E32,'IP Input Sheet'!F32)),"[Enter IP]")</f>
        <v>10.3.111.97</v>
      </c>
      <c r="G55" s="29" t="s">
        <v>474</v>
      </c>
      <c r="H55" s="29" t="s">
        <v>278</v>
      </c>
      <c r="I55" s="29" t="s">
        <v>475</v>
      </c>
      <c r="J55" s="24" t="s">
        <v>254</v>
      </c>
      <c r="K55" s="28" t="s">
        <v>255</v>
      </c>
      <c r="L55" s="29" t="s">
        <v>261</v>
      </c>
      <c r="M55" s="29" t="s">
        <v>420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27" t="s">
        <v>476</v>
      </c>
      <c r="B56" s="27" t="s">
        <v>477</v>
      </c>
      <c r="C56" s="27" t="s">
        <v>478</v>
      </c>
      <c r="D56" s="27" t="str">
        <f>IFERROR(IF('IP Input Sheet'!D23&lt;&gt;"",'IP Input Sheet'!D23,IF('IP Input Sheet'!E23&lt;&gt;"",'IP Input Sheet'!E23,'IP Input Sheet'!F23)),"[Enter IP]")</f>
        <v>10.3.111.121</v>
      </c>
      <c r="E56" s="27" t="s">
        <v>479</v>
      </c>
      <c r="F56" s="27" t="str">
        <f>IFERROR(IF('IP Input Sheet'!D33&lt;&gt;"",'IP Input Sheet'!D33,IF('IP Input Sheet'!E33&lt;&gt;"",'IP Input Sheet'!E33,'IP Input Sheet'!F33)),"[Enter IP]")</f>
        <v>10.3.111.113</v>
      </c>
      <c r="G56" s="27" t="s">
        <v>474</v>
      </c>
      <c r="H56" s="27" t="s">
        <v>278</v>
      </c>
      <c r="I56" s="27" t="s">
        <v>475</v>
      </c>
      <c r="J56" s="24" t="s">
        <v>254</v>
      </c>
      <c r="K56" s="28" t="s">
        <v>255</v>
      </c>
      <c r="L56" s="27" t="s">
        <v>261</v>
      </c>
      <c r="M56" s="27" t="s">
        <v>425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29" t="s">
        <v>480</v>
      </c>
      <c r="B57" s="29" t="s">
        <v>481</v>
      </c>
      <c r="C57" s="29" t="s">
        <v>482</v>
      </c>
      <c r="D57" s="29" t="str">
        <f>IFERROR(IF('IP Input Sheet'!D26&lt;&gt;"",'IP Input Sheet'!D26,IF('IP Input Sheet'!E26&lt;&gt;"",'IP Input Sheet'!E26,'IP Input Sheet'!F26)),"[Enter IP]")</f>
        <v>10.3.111.133</v>
      </c>
      <c r="E57" s="29" t="s">
        <v>483</v>
      </c>
      <c r="F57" s="29" t="str">
        <f>IFERROR(IF('IP Input Sheet'!D34&lt;&gt;"",'IP Input Sheet'!D34,IF('IP Input Sheet'!E34&lt;&gt;"",'IP Input Sheet'!E34,'IP Input Sheet'!F34)),"[Enter IP]")</f>
        <v>10.3.111.129</v>
      </c>
      <c r="G57" s="29" t="s">
        <v>474</v>
      </c>
      <c r="H57" s="29" t="s">
        <v>278</v>
      </c>
      <c r="I57" s="29" t="s">
        <v>475</v>
      </c>
      <c r="J57" s="24" t="s">
        <v>254</v>
      </c>
      <c r="K57" s="28" t="s">
        <v>255</v>
      </c>
      <c r="L57" s="29" t="s">
        <v>261</v>
      </c>
      <c r="M57" s="29" t="s">
        <v>438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27" t="s">
        <v>484</v>
      </c>
      <c r="B58" s="27" t="s">
        <v>485</v>
      </c>
      <c r="C58" s="27" t="s">
        <v>486</v>
      </c>
      <c r="D58" s="27" t="str">
        <f>IFERROR(IF('IP Input Sheet'!D27&lt;&gt;"",'IP Input Sheet'!D27,IF('IP Input Sheet'!E27&lt;&gt;"",'IP Input Sheet'!E27,'IP Input Sheet'!F27)),"[Enter IP]")</f>
        <v>10.3.111.153</v>
      </c>
      <c r="E58" s="27" t="s">
        <v>487</v>
      </c>
      <c r="F58" s="27" t="str">
        <f>IFERROR(IF('IP Input Sheet'!D35&lt;&gt;"",'IP Input Sheet'!D35,IF('IP Input Sheet'!E35&lt;&gt;"",'IP Input Sheet'!E35,'IP Input Sheet'!F35)),"[Enter IP]")</f>
        <v/>
      </c>
      <c r="G58" s="27" t="s">
        <v>474</v>
      </c>
      <c r="H58" s="27" t="s">
        <v>278</v>
      </c>
      <c r="I58" s="27" t="s">
        <v>475</v>
      </c>
      <c r="J58" s="24" t="s">
        <v>254</v>
      </c>
      <c r="K58" s="28" t="s">
        <v>255</v>
      </c>
      <c r="L58" s="27" t="s">
        <v>261</v>
      </c>
      <c r="M58" s="27" t="s">
        <v>443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30" t="s">
        <v>488</v>
      </c>
      <c r="B59" s="30" t="s">
        <v>489</v>
      </c>
      <c r="C59" s="30" t="s">
        <v>472</v>
      </c>
      <c r="D59" s="30" t="str">
        <f>IFERROR(IF('IP Input Sheet'!D22&lt;&gt;"",'IP Input Sheet'!D22,IF('IP Input Sheet'!E22&lt;&gt;"",'IP Input Sheet'!E22,'IP Input Sheet'!F22)),"[Enter IP]")</f>
        <v>10.3.111.101</v>
      </c>
      <c r="E59" s="30" t="s">
        <v>473</v>
      </c>
      <c r="F59" s="30" t="str">
        <f>IFERROR(IF('IP Input Sheet'!D32&lt;&gt;"",'IP Input Sheet'!D32,IF('IP Input Sheet'!E32&lt;&gt;"",'IP Input Sheet'!E32,'IP Input Sheet'!F32)),"[Enter IP]")</f>
        <v>10.3.111.97</v>
      </c>
      <c r="G59" s="30" t="s">
        <v>490</v>
      </c>
      <c r="H59" s="30" t="s">
        <v>278</v>
      </c>
      <c r="I59" s="30" t="s">
        <v>491</v>
      </c>
      <c r="J59" s="24" t="s">
        <v>254</v>
      </c>
      <c r="K59" s="30" t="s">
        <v>255</v>
      </c>
      <c r="L59" s="30" t="s">
        <v>261</v>
      </c>
      <c r="M59" s="31" t="s">
        <v>492</v>
      </c>
      <c r="N59" s="3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30" t="s">
        <v>493</v>
      </c>
      <c r="B60" s="30" t="s">
        <v>494</v>
      </c>
      <c r="C60" s="30" t="s">
        <v>478</v>
      </c>
      <c r="D60" s="30" t="str">
        <f>IFERROR(IF('IP Input Sheet'!D23&lt;&gt;"",'IP Input Sheet'!D23,IF('IP Input Sheet'!E23&lt;&gt;"",'IP Input Sheet'!E23,'IP Input Sheet'!F23)),"[Enter IP]")</f>
        <v>10.3.111.121</v>
      </c>
      <c r="E60" s="30" t="s">
        <v>479</v>
      </c>
      <c r="F60" s="30" t="str">
        <f>IFERROR(IF('IP Input Sheet'!D33&lt;&gt;"",'IP Input Sheet'!D33,IF('IP Input Sheet'!E33&lt;&gt;"",'IP Input Sheet'!E33,'IP Input Sheet'!F33)),"[Enter IP]")</f>
        <v>10.3.111.113</v>
      </c>
      <c r="G60" s="30" t="s">
        <v>490</v>
      </c>
      <c r="H60" s="30" t="s">
        <v>278</v>
      </c>
      <c r="I60" s="30" t="s">
        <v>491</v>
      </c>
      <c r="J60" s="24" t="s">
        <v>254</v>
      </c>
      <c r="K60" s="30" t="s">
        <v>255</v>
      </c>
      <c r="L60" s="30" t="s">
        <v>261</v>
      </c>
      <c r="M60" s="31" t="s">
        <v>495</v>
      </c>
      <c r="N60" s="3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30" t="s">
        <v>496</v>
      </c>
      <c r="B61" s="30" t="s">
        <v>497</v>
      </c>
      <c r="C61" s="30" t="s">
        <v>482</v>
      </c>
      <c r="D61" s="30" t="str">
        <f>IFERROR(IF('IP Input Sheet'!D26&lt;&gt;"",'IP Input Sheet'!D26,IF('IP Input Sheet'!E26&lt;&gt;"",'IP Input Sheet'!E26,'IP Input Sheet'!F26)),"[Enter IP]")</f>
        <v>10.3.111.133</v>
      </c>
      <c r="E61" s="30" t="s">
        <v>483</v>
      </c>
      <c r="F61" s="30" t="str">
        <f>IFERROR(IF('IP Input Sheet'!D34&lt;&gt;"",'IP Input Sheet'!D34,IF('IP Input Sheet'!E34&lt;&gt;"",'IP Input Sheet'!E34,'IP Input Sheet'!F34)),"[Enter IP]")</f>
        <v>10.3.111.129</v>
      </c>
      <c r="G61" s="30" t="s">
        <v>490</v>
      </c>
      <c r="H61" s="30" t="s">
        <v>278</v>
      </c>
      <c r="I61" s="30" t="s">
        <v>491</v>
      </c>
      <c r="J61" s="24" t="s">
        <v>254</v>
      </c>
      <c r="K61" s="30" t="s">
        <v>255</v>
      </c>
      <c r="L61" s="30" t="s">
        <v>261</v>
      </c>
      <c r="M61" s="31" t="s">
        <v>498</v>
      </c>
      <c r="N61" s="3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0" t="s">
        <v>499</v>
      </c>
      <c r="B62" s="30" t="s">
        <v>500</v>
      </c>
      <c r="C62" s="30" t="s">
        <v>486</v>
      </c>
      <c r="D62" s="30" t="str">
        <f>IFERROR(IF('IP Input Sheet'!D27&lt;&gt;"",'IP Input Sheet'!D27,IF('IP Input Sheet'!E27&lt;&gt;"",'IP Input Sheet'!E27,'IP Input Sheet'!F27)),"[Enter IP]")</f>
        <v>10.3.111.153</v>
      </c>
      <c r="E62" s="30" t="s">
        <v>487</v>
      </c>
      <c r="F62" s="30" t="str">
        <f>IFERROR(IF('IP Input Sheet'!D35&lt;&gt;"",'IP Input Sheet'!D35,IF('IP Input Sheet'!E35&lt;&gt;"",'IP Input Sheet'!E35,'IP Input Sheet'!F35)),"[Enter IP]")</f>
        <v/>
      </c>
      <c r="G62" s="30" t="s">
        <v>490</v>
      </c>
      <c r="H62" s="30" t="s">
        <v>278</v>
      </c>
      <c r="I62" s="30" t="s">
        <v>491</v>
      </c>
      <c r="J62" s="24" t="s">
        <v>254</v>
      </c>
      <c r="K62" s="30" t="s">
        <v>255</v>
      </c>
      <c r="L62" s="30" t="s">
        <v>261</v>
      </c>
      <c r="M62" s="31" t="s">
        <v>501</v>
      </c>
      <c r="N62" s="3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30" t="s">
        <v>502</v>
      </c>
      <c r="B63" s="30" t="s">
        <v>503</v>
      </c>
      <c r="C63" s="30" t="s">
        <v>504</v>
      </c>
      <c r="D63" s="30" t="str">
        <f>IFERROR(IF('IP Input Sheet'!D30&lt;&gt;"",'IP Input Sheet'!D30,IF('IP Input Sheet'!E30&lt;&gt;"",'IP Input Sheet'!E30,'IP Input Sheet'!F30)),"[Enter IP]")</f>
        <v>10.5.236.0/24</v>
      </c>
      <c r="E63" s="30" t="s">
        <v>505</v>
      </c>
      <c r="F63" s="30" t="str">
        <f>IFERROR(IF('IP Input Sheet'!E30&lt;&gt;"",'IP Input Sheet'!E30,IF('IP Input Sheet'!D30&lt;&gt;"",'IP Input Sheet'!D30,'IP Input Sheet'!F30)),"[Enter IP]")</f>
        <v>10.5.248.0/24</v>
      </c>
      <c r="G63" s="30" t="s">
        <v>506</v>
      </c>
      <c r="H63" s="30" t="s">
        <v>278</v>
      </c>
      <c r="I63" s="30" t="s">
        <v>507</v>
      </c>
      <c r="J63" s="24" t="s">
        <v>254</v>
      </c>
      <c r="K63" s="30" t="s">
        <v>255</v>
      </c>
      <c r="L63" s="30" t="s">
        <v>261</v>
      </c>
      <c r="M63" s="31" t="s">
        <v>508</v>
      </c>
      <c r="N63" s="3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5"/>
      <c r="B64" s="15"/>
      <c r="C64" s="15"/>
      <c r="D64" s="15" t="str">
        <f>IFERROR(IF('IP Input Sheet'!D27&lt;&gt;"",'IP Input Sheet'!D27,IF('IP Input Sheet'!E27&lt;&gt;"",'IP Input Sheet'!E27,'IP Input Sheet'!F27)),"[Enter IP]")</f>
        <v>10.3.111.153</v>
      </c>
      <c r="E64" s="15"/>
      <c r="F64" s="15" t="str">
        <f>IFERROR(IF('IP Input Sheet'!D35&lt;&gt;"",'IP Input Sheet'!D35,IF('IP Input Sheet'!E35&lt;&gt;"",'IP Input Sheet'!E35,'IP Input Sheet'!F35)),"[Enter IP]")</f>
        <v/>
      </c>
      <c r="G64" s="15"/>
      <c r="H64" s="15"/>
      <c r="I64" s="15"/>
      <c r="J64" s="15"/>
      <c r="K64" s="15"/>
      <c r="L64" s="15"/>
      <c r="M64" s="1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11" t="s">
        <v>509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3" t="s">
        <v>510</v>
      </c>
      <c r="B66" s="33" t="s">
        <v>511</v>
      </c>
      <c r="C66" s="34" t="s">
        <v>512</v>
      </c>
      <c r="D66" s="34" t="str">
        <f>IFERROR(IF('IP Input Sheet'!D15&lt;&gt;"",'IP Input Sheet'!D15,IF('IP Input Sheet'!E15&lt;&gt;"",'IP Input Sheet'!E15,'IP Input Sheet'!F15)),"[Enter IP]")</f>
        <v>10.3.118.0/24</v>
      </c>
      <c r="E66" s="34" t="s">
        <v>513</v>
      </c>
      <c r="F66" s="34" t="str">
        <f>IFERROR(IF('IP Input Sheet'!D14&lt;&gt;"",'IP Input Sheet'!D14,IF('IP Input Sheet'!E14&lt;&gt;"",'IP Input Sheet'!E14,'IP Input Sheet'!F14)),"[Enter IP]")</f>
        <v>10.3.118.0/24</v>
      </c>
      <c r="G66" s="34" t="s">
        <v>251</v>
      </c>
      <c r="H66" s="34" t="s">
        <v>252</v>
      </c>
      <c r="I66" s="34" t="s">
        <v>514</v>
      </c>
      <c r="J66" s="24" t="s">
        <v>254</v>
      </c>
      <c r="K66" s="28" t="s">
        <v>255</v>
      </c>
      <c r="L66" s="34" t="s">
        <v>256</v>
      </c>
      <c r="M66" s="34" t="s">
        <v>515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3" t="s">
        <v>516</v>
      </c>
      <c r="B67" s="33" t="s">
        <v>517</v>
      </c>
      <c r="C67" s="34" t="s">
        <v>512</v>
      </c>
      <c r="D67" s="34" t="str">
        <f>IFERROR(IF('IP Input Sheet'!D15&lt;&gt;"",'IP Input Sheet'!D15,IF('IP Input Sheet'!E15&lt;&gt;"",'IP Input Sheet'!E15,'IP Input Sheet'!F15)),"[Enter IP]")</f>
        <v>10.3.118.0/24</v>
      </c>
      <c r="E67" s="34" t="s">
        <v>513</v>
      </c>
      <c r="F67" s="34" t="str">
        <f>IFERROR(IF('IP Input Sheet'!D14&lt;&gt;"",'IP Input Sheet'!D14,IF('IP Input Sheet'!E14&lt;&gt;"",'IP Input Sheet'!E14,'IP Input Sheet'!F14)),"[Enter IP]")</f>
        <v>10.3.118.0/24</v>
      </c>
      <c r="G67" s="34" t="s">
        <v>518</v>
      </c>
      <c r="H67" s="34" t="s">
        <v>252</v>
      </c>
      <c r="I67" s="34" t="s">
        <v>519</v>
      </c>
      <c r="J67" s="24" t="s">
        <v>254</v>
      </c>
      <c r="K67" s="28" t="s">
        <v>255</v>
      </c>
      <c r="L67" s="34" t="s">
        <v>256</v>
      </c>
      <c r="M67" s="34" t="s">
        <v>520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33" t="s">
        <v>521</v>
      </c>
      <c r="B68" s="33" t="s">
        <v>522</v>
      </c>
      <c r="C68" s="34" t="s">
        <v>523</v>
      </c>
      <c r="D68" s="34" t="str">
        <f>IFERROR(IF('IP Input Sheet'!D22&lt;&gt;"",'IP Input Sheet'!D22,IF('IP Input Sheet'!E22&lt;&gt;"",'IP Input Sheet'!E22,'IP Input Sheet'!F22)),"[Enter IP]")</f>
        <v>10.3.111.101</v>
      </c>
      <c r="E68" s="34" t="s">
        <v>524</v>
      </c>
      <c r="F68" s="34" t="str">
        <f>IFERROR(IF('IP Input Sheet'!D26&lt;&gt;"",'IP Input Sheet'!D26,IF('IP Input Sheet'!E26&lt;&gt;"",'IP Input Sheet'!E26,'IP Input Sheet'!F26)),"[Enter IP]")</f>
        <v>10.3.111.133</v>
      </c>
      <c r="G68" s="34" t="s">
        <v>418</v>
      </c>
      <c r="H68" s="34" t="s">
        <v>252</v>
      </c>
      <c r="I68" s="34" t="s">
        <v>525</v>
      </c>
      <c r="J68" s="24" t="s">
        <v>254</v>
      </c>
      <c r="K68" s="28" t="s">
        <v>255</v>
      </c>
      <c r="L68" s="34" t="s">
        <v>261</v>
      </c>
      <c r="M68" s="34" t="s">
        <v>526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27" t="s">
        <v>516</v>
      </c>
      <c r="B69" s="35" t="s">
        <v>527</v>
      </c>
      <c r="C69" s="27" t="s">
        <v>512</v>
      </c>
      <c r="D69" s="27" t="str">
        <f>IFERROR(IF('IP Input Sheet'!D15&lt;&gt;"",'IP Input Sheet'!D15,IF('IP Input Sheet'!E15&lt;&gt;"",'IP Input Sheet'!E15,'IP Input Sheet'!F15)),"[Enter IP]")</f>
        <v>10.3.118.0/24</v>
      </c>
      <c r="E69" s="27" t="s">
        <v>528</v>
      </c>
      <c r="F69" s="27" t="str">
        <f>IFERROR(IF('IP Input Sheet'!D14&lt;&gt;"",'IP Input Sheet'!D14,IF('IP Input Sheet'!E14&lt;&gt;"",'IP Input Sheet'!E14,'IP Input Sheet'!F14)),"[Enter IP]")</f>
        <v>10.3.118.0/24</v>
      </c>
      <c r="G69" s="27" t="s">
        <v>518</v>
      </c>
      <c r="H69" s="27" t="s">
        <v>252</v>
      </c>
      <c r="I69" s="27" t="s">
        <v>529</v>
      </c>
      <c r="J69" s="24" t="s">
        <v>254</v>
      </c>
      <c r="K69" s="28" t="s">
        <v>255</v>
      </c>
      <c r="L69" s="27" t="s">
        <v>261</v>
      </c>
      <c r="M69" s="27" t="s">
        <v>530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29" t="s">
        <v>521</v>
      </c>
      <c r="B70" s="29" t="s">
        <v>531</v>
      </c>
      <c r="C70" s="29" t="s">
        <v>532</v>
      </c>
      <c r="D70" s="29" t="str">
        <f>IFERROR(IF('IP Input Sheet'!D22&lt;&gt;"",'IP Input Sheet'!D22,IF('IP Input Sheet'!E22&lt;&gt;"",'IP Input Sheet'!E22,'IP Input Sheet'!F22)),"[Enter IP]")</f>
        <v>10.3.111.101</v>
      </c>
      <c r="E70" s="29" t="s">
        <v>533</v>
      </c>
      <c r="F70" s="29" t="str">
        <f>IFERROR(IF('IP Input Sheet'!D26&lt;&gt;"",'IP Input Sheet'!D26,IF('IP Input Sheet'!E26&lt;&gt;"",'IP Input Sheet'!E26,'IP Input Sheet'!F26)),"[Enter IP]")</f>
        <v>10.3.111.133</v>
      </c>
      <c r="G70" s="29" t="s">
        <v>418</v>
      </c>
      <c r="H70" s="29" t="s">
        <v>252</v>
      </c>
      <c r="I70" s="29" t="s">
        <v>534</v>
      </c>
      <c r="J70" s="24" t="s">
        <v>254</v>
      </c>
      <c r="K70" s="28" t="s">
        <v>255</v>
      </c>
      <c r="L70" s="29" t="s">
        <v>261</v>
      </c>
      <c r="M70" s="29" t="s">
        <v>535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0" customHeight="1">
      <c r="A71" s="36" t="s">
        <v>536</v>
      </c>
      <c r="B71" s="36" t="s">
        <v>537</v>
      </c>
      <c r="C71" s="30" t="s">
        <v>538</v>
      </c>
      <c r="D71" s="30" t="str">
        <f>IFERROR(IF('IP Input Sheet'!D15&lt;&gt;"",'IP Input Sheet'!D15,IF('IP Input Sheet'!E15&lt;&gt;"",'IP Input Sheet'!E15,'IP Input Sheet'!F15)),"[Enter IP]")</f>
        <v>10.3.118.0/24</v>
      </c>
      <c r="E71" s="30" t="s">
        <v>539</v>
      </c>
      <c r="F71" s="30" t="str">
        <f>IFERROR(IF('IP Input Sheet'!D15&lt;&gt;"",'IP Input Sheet'!D15,IF('IP Input Sheet'!E15&lt;&gt;"",'IP Input Sheet'!E15,'IP Input Sheet'!F15)),"[Enter IP]")</f>
        <v>10.3.118.0/24</v>
      </c>
      <c r="G71" s="30" t="s">
        <v>540</v>
      </c>
      <c r="H71" s="30" t="s">
        <v>252</v>
      </c>
      <c r="I71" s="30" t="s">
        <v>541</v>
      </c>
      <c r="J71" s="24" t="s">
        <v>254</v>
      </c>
      <c r="K71" s="30" t="s">
        <v>255</v>
      </c>
      <c r="L71" s="30" t="s">
        <v>261</v>
      </c>
      <c r="M71" s="31" t="s">
        <v>542</v>
      </c>
      <c r="N71" s="3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 t="s">
        <v>543</v>
      </c>
      <c r="B72" s="35" t="s">
        <v>544</v>
      </c>
      <c r="C72" s="27" t="s">
        <v>10</v>
      </c>
      <c r="D72" s="27" t="str">
        <f>IFERROR(IF('IP Input Sheet'!D5&lt;&gt;"",'IP Input Sheet'!D5,IF('IP Input Sheet'!E5&lt;&gt;"",'IP Input Sheet'!E5,'IP Input Sheet'!F5)),"[Enter IP]")</f>
        <v>10.5.25.86</v>
      </c>
      <c r="E72" s="27" t="s">
        <v>545</v>
      </c>
      <c r="F72" s="27" t="str">
        <f>IFERROR(IF('IP Input Sheet'!D13&lt;&gt;"",'IP Input Sheet'!D13,IF('IP Input Sheet'!E13&lt;&gt;"",'IP Input Sheet'!E13,'IP Input Sheet'!F13)),"[Enter IP]")</f>
        <v>10.3.118.18</v>
      </c>
      <c r="G72" s="27" t="s">
        <v>546</v>
      </c>
      <c r="H72" s="27" t="s">
        <v>252</v>
      </c>
      <c r="I72" s="27" t="s">
        <v>547</v>
      </c>
      <c r="J72" s="24" t="s">
        <v>254</v>
      </c>
      <c r="K72" s="28" t="s">
        <v>255</v>
      </c>
      <c r="L72" s="27" t="s">
        <v>256</v>
      </c>
      <c r="M72" s="27" t="s">
        <v>548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9" t="s">
        <v>549</v>
      </c>
      <c r="B73" s="35" t="s">
        <v>550</v>
      </c>
      <c r="C73" s="29" t="s">
        <v>10</v>
      </c>
      <c r="D73" s="29" t="str">
        <f>IFERROR(IF('IP Input Sheet'!D5&lt;&gt;"",'IP Input Sheet'!D5,IF('IP Input Sheet'!E5&lt;&gt;"",'IP Input Sheet'!E5,'IP Input Sheet'!F5)),"[Enter IP]")</f>
        <v>10.5.25.86</v>
      </c>
      <c r="E73" s="29" t="s">
        <v>551</v>
      </c>
      <c r="F73" s="29" t="str">
        <f>IFERROR(IF('IP Input Sheet'!D16&lt;&gt;"",'IP Input Sheet'!D16,IF('IP Input Sheet'!E16&lt;&gt;"",'IP Input Sheet'!E16,'IP Input Sheet'!F16)),"[Enter IP]")</f>
        <v>10.3.118.30</v>
      </c>
      <c r="G73" s="29" t="s">
        <v>546</v>
      </c>
      <c r="H73" s="29" t="s">
        <v>252</v>
      </c>
      <c r="I73" s="29" t="s">
        <v>552</v>
      </c>
      <c r="J73" s="24" t="s">
        <v>254</v>
      </c>
      <c r="K73" s="28" t="s">
        <v>255</v>
      </c>
      <c r="L73" s="29" t="s">
        <v>256</v>
      </c>
      <c r="M73" s="29" t="s">
        <v>553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 t="s">
        <v>554</v>
      </c>
      <c r="B74" s="35" t="s">
        <v>555</v>
      </c>
      <c r="C74" s="27" t="s">
        <v>10</v>
      </c>
      <c r="D74" s="27" t="str">
        <f>IFERROR(IF('IP Input Sheet'!D5&lt;&gt;"",'IP Input Sheet'!D5,IF('IP Input Sheet'!E5&lt;&gt;"",'IP Input Sheet'!E5,'IP Input Sheet'!F5)),"[Enter IP]")</f>
        <v>10.5.25.86</v>
      </c>
      <c r="E74" s="27" t="s">
        <v>556</v>
      </c>
      <c r="F74" s="27" t="str">
        <f>IFERROR(IF('IP Input Sheet'!D14&lt;&gt;"",'IP Input Sheet'!D14,IF('IP Input Sheet'!E14&lt;&gt;"",'IP Input Sheet'!E14,'IP Input Sheet'!F14)),"[Enter IP]")</f>
        <v>10.3.118.0/24</v>
      </c>
      <c r="G74" s="27" t="s">
        <v>546</v>
      </c>
      <c r="H74" s="27" t="s">
        <v>252</v>
      </c>
      <c r="I74" s="27" t="s">
        <v>557</v>
      </c>
      <c r="J74" s="24" t="s">
        <v>254</v>
      </c>
      <c r="K74" s="28" t="s">
        <v>255</v>
      </c>
      <c r="L74" s="27" t="s">
        <v>256</v>
      </c>
      <c r="M74" s="27" t="s">
        <v>558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9" t="s">
        <v>559</v>
      </c>
      <c r="B75" s="35" t="s">
        <v>560</v>
      </c>
      <c r="C75" s="29" t="s">
        <v>18</v>
      </c>
      <c r="D75" s="29" t="str">
        <f>IFERROR(IF('IP Input Sheet'!D7&lt;&gt;"",'IP Input Sheet'!D7,IF('IP Input Sheet'!E7&lt;&gt;"",'IP Input Sheet'!E7,'IP Input Sheet'!F7)),"[Enter IP]")</f>
        <v>10.5.25.64/26</v>
      </c>
      <c r="E75" s="29" t="s">
        <v>561</v>
      </c>
      <c r="F75" s="29" t="str">
        <f>IFERROR(IF('IP Input Sheet'!D13&lt;&gt;"",'IP Input Sheet'!D13,IF('IP Input Sheet'!E13&lt;&gt;"",'IP Input Sheet'!E13,'IP Input Sheet'!F13)),"[Enter IP]")</f>
        <v>10.3.118.18</v>
      </c>
      <c r="G75" s="29" t="s">
        <v>546</v>
      </c>
      <c r="H75" s="29" t="s">
        <v>252</v>
      </c>
      <c r="I75" s="29" t="s">
        <v>562</v>
      </c>
      <c r="J75" s="24" t="s">
        <v>254</v>
      </c>
      <c r="K75" s="28" t="s">
        <v>255</v>
      </c>
      <c r="L75" s="29" t="s">
        <v>256</v>
      </c>
      <c r="M75" s="29" t="s">
        <v>563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 t="s">
        <v>564</v>
      </c>
      <c r="B76" s="35" t="s">
        <v>565</v>
      </c>
      <c r="C76" s="27" t="s">
        <v>566</v>
      </c>
      <c r="D76" s="27" t="str">
        <f>IFERROR(IF('IP Input Sheet'!D20&lt;&gt;"",'IP Input Sheet'!D20,IF('IP Input Sheet'!E20&lt;&gt;"",'IP Input Sheet'!E20,'IP Input Sheet'!F20)),"[Enter IP]")</f>
        <v>192.168.188.1</v>
      </c>
      <c r="E76" s="27" t="s">
        <v>567</v>
      </c>
      <c r="F76" s="27" t="str">
        <f>IFERROR(IF('IP Input Sheet'!D13&lt;&gt;"",'IP Input Sheet'!D13,IF('IP Input Sheet'!E13&lt;&gt;"",'IP Input Sheet'!E13,'IP Input Sheet'!F13)),"[Enter IP]")</f>
        <v>10.3.118.18</v>
      </c>
      <c r="G76" s="27" t="s">
        <v>568</v>
      </c>
      <c r="H76" s="27" t="s">
        <v>252</v>
      </c>
      <c r="I76" s="27" t="s">
        <v>569</v>
      </c>
      <c r="J76" s="24" t="s">
        <v>254</v>
      </c>
      <c r="K76" s="28" t="s">
        <v>255</v>
      </c>
      <c r="L76" s="27" t="s">
        <v>261</v>
      </c>
      <c r="M76" s="27" t="s">
        <v>570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9" t="s">
        <v>571</v>
      </c>
      <c r="B77" s="35" t="s">
        <v>572</v>
      </c>
      <c r="C77" s="29" t="s">
        <v>573</v>
      </c>
      <c r="D77" s="29" t="s">
        <v>574</v>
      </c>
      <c r="E77" s="29" t="s">
        <v>575</v>
      </c>
      <c r="F77" s="29" t="str">
        <f>IFERROR(IF('IP Input Sheet'!D20&lt;&gt;"",'IP Input Sheet'!D20,IF('IP Input Sheet'!E20&lt;&gt;"",'IP Input Sheet'!E20,'IP Input Sheet'!F20)),"[Enter IP]")</f>
        <v>192.168.188.1</v>
      </c>
      <c r="G77" s="29" t="s">
        <v>568</v>
      </c>
      <c r="H77" s="29" t="s">
        <v>252</v>
      </c>
      <c r="I77" s="29" t="s">
        <v>576</v>
      </c>
      <c r="J77" s="24" t="s">
        <v>254</v>
      </c>
      <c r="K77" s="28" t="s">
        <v>255</v>
      </c>
      <c r="L77" s="29" t="s">
        <v>577</v>
      </c>
      <c r="M77" s="29" t="s">
        <v>578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 t="s">
        <v>579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3" t="s">
        <v>580</v>
      </c>
      <c r="B80" s="23" t="s">
        <v>581</v>
      </c>
      <c r="C80" s="23" t="s">
        <v>582</v>
      </c>
      <c r="D80" s="23" t="str">
        <f>IFERROR(IF('IP Input Sheet'!D20&lt;&gt;"",'IP Input Sheet'!D20,IF('IP Input Sheet'!E20&lt;&gt;"",'IP Input Sheet'!E20,'IP Input Sheet'!F20)),"[Enter IP]")</f>
        <v>192.168.188.1</v>
      </c>
      <c r="E80" s="23" t="s">
        <v>36</v>
      </c>
      <c r="F80" s="23" t="str">
        <f>IFERROR(IF('IP Input Sheet'!D13&lt;&gt;"",'IP Input Sheet'!D13,IF('IP Input Sheet'!E13&lt;&gt;"",'IP Input Sheet'!E13,'IP Input Sheet'!F13)),"[Enter IP]")</f>
        <v>10.3.118.18</v>
      </c>
      <c r="G80" s="23" t="s">
        <v>251</v>
      </c>
      <c r="H80" s="23" t="s">
        <v>252</v>
      </c>
      <c r="I80" s="23" t="s">
        <v>583</v>
      </c>
      <c r="J80" s="24" t="s">
        <v>254</v>
      </c>
      <c r="K80" s="25" t="s">
        <v>255</v>
      </c>
      <c r="L80" s="23" t="s">
        <v>256</v>
      </c>
      <c r="M80" s="23" t="s">
        <v>584</v>
      </c>
      <c r="N80" s="27" t="s">
        <v>585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3" t="s">
        <v>586</v>
      </c>
      <c r="B81" s="23" t="s">
        <v>587</v>
      </c>
      <c r="C81" s="23" t="s">
        <v>582</v>
      </c>
      <c r="D81" s="23" t="str">
        <f>IFERROR(IF('IP Input Sheet'!D20&lt;&gt;"",'IP Input Sheet'!D20,IF('IP Input Sheet'!E20&lt;&gt;"",'IP Input Sheet'!E20,'IP Input Sheet'!F20)),"[Enter IP]")</f>
        <v>192.168.188.1</v>
      </c>
      <c r="E81" s="23" t="s">
        <v>545</v>
      </c>
      <c r="F81" s="23" t="str">
        <f>IFERROR(IF('IP Input Sheet'!D13&lt;&gt;"",'IP Input Sheet'!D13,IF('IP Input Sheet'!E13&lt;&gt;"",'IP Input Sheet'!E13,'IP Input Sheet'!F13)),"[Enter IP]")</f>
        <v>10.3.118.18</v>
      </c>
      <c r="G81" s="23" t="s">
        <v>546</v>
      </c>
      <c r="H81" s="23" t="s">
        <v>252</v>
      </c>
      <c r="I81" s="23" t="s">
        <v>588</v>
      </c>
      <c r="J81" s="24" t="s">
        <v>254</v>
      </c>
      <c r="K81" s="25" t="s">
        <v>255</v>
      </c>
      <c r="L81" s="23" t="s">
        <v>256</v>
      </c>
      <c r="M81" s="23" t="s">
        <v>589</v>
      </c>
      <c r="N81" s="27" t="s">
        <v>590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3" t="s">
        <v>591</v>
      </c>
      <c r="B82" s="23" t="s">
        <v>592</v>
      </c>
      <c r="C82" s="23" t="s">
        <v>582</v>
      </c>
      <c r="D82" s="23" t="str">
        <f>IFERROR(IF('IP Input Sheet'!D20&lt;&gt;"",'IP Input Sheet'!D20,IF('IP Input Sheet'!E20&lt;&gt;"",'IP Input Sheet'!E20,'IP Input Sheet'!F20)),"[Enter IP]")</f>
        <v>192.168.188.1</v>
      </c>
      <c r="E82" s="23" t="s">
        <v>593</v>
      </c>
      <c r="F82" s="23" t="str">
        <f>IFERROR(IF('IP Input Sheet'!D18&lt;&gt;"",'IP Input Sheet'!D18,IF('IP Input Sheet'!E18&lt;&gt;"",'IP Input Sheet'!E18,'IP Input Sheet'!F18)),"[Enter IP]")</f>
        <v>10.3.118.0/24</v>
      </c>
      <c r="G82" s="23" t="s">
        <v>355</v>
      </c>
      <c r="H82" s="23" t="s">
        <v>272</v>
      </c>
      <c r="I82" s="23" t="s">
        <v>594</v>
      </c>
      <c r="J82" s="24" t="s">
        <v>254</v>
      </c>
      <c r="K82" s="25" t="s">
        <v>255</v>
      </c>
      <c r="L82" s="23" t="s">
        <v>261</v>
      </c>
      <c r="M82" s="23" t="s">
        <v>595</v>
      </c>
      <c r="N82" s="27" t="s">
        <v>596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3" t="s">
        <v>597</v>
      </c>
      <c r="B83" s="23" t="s">
        <v>598</v>
      </c>
      <c r="C83" s="23" t="s">
        <v>582</v>
      </c>
      <c r="D83" s="23" t="str">
        <f>IFERROR(IF('IP Input Sheet'!D20&lt;&gt;"",'IP Input Sheet'!D20,IF('IP Input Sheet'!E20&lt;&gt;"",'IP Input Sheet'!E20,'IP Input Sheet'!F20)),"[Enter IP]")</f>
        <v>192.168.188.1</v>
      </c>
      <c r="E83" s="23" t="s">
        <v>593</v>
      </c>
      <c r="F83" s="23" t="str">
        <f>IFERROR(IF('IP Input Sheet'!D18&lt;&gt;"",'IP Input Sheet'!D18,IF('IP Input Sheet'!E18&lt;&gt;"",'IP Input Sheet'!E18,'IP Input Sheet'!F18)),"[Enter IP]")</f>
        <v>10.3.118.0/24</v>
      </c>
      <c r="G83" s="23" t="s">
        <v>599</v>
      </c>
      <c r="H83" s="23" t="s">
        <v>252</v>
      </c>
      <c r="I83" s="23" t="s">
        <v>600</v>
      </c>
      <c r="J83" s="24" t="s">
        <v>254</v>
      </c>
      <c r="K83" s="25" t="s">
        <v>255</v>
      </c>
      <c r="L83" s="23" t="s">
        <v>261</v>
      </c>
      <c r="M83" s="23" t="s">
        <v>596</v>
      </c>
      <c r="N83" s="27" t="s">
        <v>601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3" t="s">
        <v>602</v>
      </c>
      <c r="B84" s="23" t="s">
        <v>603</v>
      </c>
      <c r="C84" s="23" t="s">
        <v>582</v>
      </c>
      <c r="D84" s="23" t="str">
        <f>IFERROR(IF('IP Input Sheet'!D20&lt;&gt;"",'IP Input Sheet'!D20,IF('IP Input Sheet'!E20&lt;&gt;"",'IP Input Sheet'!E20,'IP Input Sheet'!F20)),"[Enter IP]")</f>
        <v>192.168.188.1</v>
      </c>
      <c r="E84" s="23" t="s">
        <v>593</v>
      </c>
      <c r="F84" s="23" t="str">
        <f>IFERROR(IF('IP Input Sheet'!D18&lt;&gt;"",'IP Input Sheet'!D18,IF('IP Input Sheet'!E18&lt;&gt;"",'IP Input Sheet'!E18,'IP Input Sheet'!F18)),"[Enter IP]")</f>
        <v>10.3.118.0/24</v>
      </c>
      <c r="G84" s="23" t="s">
        <v>604</v>
      </c>
      <c r="H84" s="23" t="s">
        <v>252</v>
      </c>
      <c r="I84" s="23" t="s">
        <v>605</v>
      </c>
      <c r="J84" s="24" t="s">
        <v>254</v>
      </c>
      <c r="K84" s="25" t="s">
        <v>255</v>
      </c>
      <c r="L84" s="23" t="s">
        <v>261</v>
      </c>
      <c r="M84" s="23" t="s">
        <v>601</v>
      </c>
      <c r="N84" s="27" t="s">
        <v>606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3" t="s">
        <v>607</v>
      </c>
      <c r="B85" s="23" t="s">
        <v>608</v>
      </c>
      <c r="C85" s="23" t="s">
        <v>582</v>
      </c>
      <c r="D85" s="23" t="str">
        <f>IFERROR(IF('IP Input Sheet'!D20&lt;&gt;"",'IP Input Sheet'!D20,IF('IP Input Sheet'!E20&lt;&gt;"",'IP Input Sheet'!E20,'IP Input Sheet'!F20)),"[Enter IP]")</f>
        <v>192.168.188.1</v>
      </c>
      <c r="E85" s="23" t="s">
        <v>593</v>
      </c>
      <c r="F85" s="23" t="str">
        <f>IFERROR(IF('IP Input Sheet'!D18&lt;&gt;"",'IP Input Sheet'!D18,IF('IP Input Sheet'!E18&lt;&gt;"",'IP Input Sheet'!E18,'IP Input Sheet'!F18)),"[Enter IP]")</f>
        <v>10.3.118.0/24</v>
      </c>
      <c r="G85" s="23" t="s">
        <v>609</v>
      </c>
      <c r="H85" s="23" t="s">
        <v>252</v>
      </c>
      <c r="I85" s="23" t="s">
        <v>610</v>
      </c>
      <c r="J85" s="24" t="s">
        <v>254</v>
      </c>
      <c r="K85" s="25" t="s">
        <v>255</v>
      </c>
      <c r="L85" s="23" t="s">
        <v>261</v>
      </c>
      <c r="M85" s="23" t="s">
        <v>611</v>
      </c>
      <c r="N85" s="27" t="s">
        <v>612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3" t="s">
        <v>613</v>
      </c>
      <c r="B86" s="23" t="s">
        <v>614</v>
      </c>
      <c r="C86" s="23" t="s">
        <v>582</v>
      </c>
      <c r="D86" s="23" t="str">
        <f>IFERROR(IF('IP Input Sheet'!D20&lt;&gt;"",'IP Input Sheet'!D20,IF('IP Input Sheet'!E20&lt;&gt;"",'IP Input Sheet'!E20,'IP Input Sheet'!F20)),"[Enter IP]")</f>
        <v>192.168.188.1</v>
      </c>
      <c r="E86" s="23" t="s">
        <v>203</v>
      </c>
      <c r="F86" s="23" t="str">
        <f>'IP Input Sheet'!D60</f>
        <v/>
      </c>
      <c r="G86" s="23" t="s">
        <v>271</v>
      </c>
      <c r="H86" s="23" t="s">
        <v>272</v>
      </c>
      <c r="I86" s="23" t="s">
        <v>273</v>
      </c>
      <c r="J86" s="24" t="s">
        <v>254</v>
      </c>
      <c r="K86" s="25" t="s">
        <v>255</v>
      </c>
      <c r="L86" s="23" t="s">
        <v>256</v>
      </c>
      <c r="M86" s="23" t="s">
        <v>615</v>
      </c>
      <c r="N86" s="27" t="s">
        <v>616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3" t="s">
        <v>617</v>
      </c>
      <c r="B87" s="23" t="s">
        <v>618</v>
      </c>
      <c r="C87" s="23" t="s">
        <v>582</v>
      </c>
      <c r="D87" s="23" t="str">
        <f>IFERROR(IF('IP Input Sheet'!D20&lt;&gt;"",'IP Input Sheet'!D20,IF('IP Input Sheet'!E20&lt;&gt;"",'IP Input Sheet'!E20,'IP Input Sheet'!F20)),"[Enter IP]")</f>
        <v>192.168.188.1</v>
      </c>
      <c r="E87" s="23" t="s">
        <v>207</v>
      </c>
      <c r="F87" s="23" t="str">
        <f>'IP Input Sheet'!D61</f>
        <v/>
      </c>
      <c r="G87" s="23" t="s">
        <v>277</v>
      </c>
      <c r="H87" s="23" t="s">
        <v>278</v>
      </c>
      <c r="I87" s="23" t="s">
        <v>619</v>
      </c>
      <c r="J87" s="24" t="s">
        <v>254</v>
      </c>
      <c r="K87" s="25" t="s">
        <v>255</v>
      </c>
      <c r="L87" s="23" t="s">
        <v>256</v>
      </c>
      <c r="M87" s="23" t="s">
        <v>620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65:M6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38.0"/>
    <col customWidth="1" min="14" max="14" width="14.57"/>
  </cols>
  <sheetData>
    <row r="1" ht="15.75" customHeight="1">
      <c r="A1" s="22" t="s">
        <v>621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 t="s">
        <v>2</v>
      </c>
      <c r="B3" s="6" t="s">
        <v>237</v>
      </c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243</v>
      </c>
      <c r="I3" s="6" t="s">
        <v>244</v>
      </c>
      <c r="J3" s="6" t="s">
        <v>245</v>
      </c>
      <c r="K3" s="6" t="s">
        <v>246</v>
      </c>
      <c r="L3" s="6" t="s">
        <v>247</v>
      </c>
      <c r="M3" s="6" t="s">
        <v>248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3" t="s">
        <v>622</v>
      </c>
      <c r="B4" s="23" t="s">
        <v>623</v>
      </c>
      <c r="C4" s="23" t="s">
        <v>36</v>
      </c>
      <c r="D4" s="23" t="str">
        <f>IFERROR(IF('IP Input Sheet'!D13&lt;&gt;"",'IP Input Sheet'!D13,IF('IP Input Sheet'!E13&lt;&gt;"",'IP Input Sheet'!E13,'IP Input Sheet'!F13)),"[Enter IP]")</f>
        <v>10.3.118.18</v>
      </c>
      <c r="E4" s="23" t="s">
        <v>624</v>
      </c>
      <c r="F4" s="23" t="str">
        <f>IFERROR(IF('IP Input Sheet'!D5&lt;&gt;"",'IP Input Sheet'!D5,IF('IP Input Sheet'!E5&lt;&gt;"",'IP Input Sheet'!E5,'IP Input Sheet'!F5)),"[Enter IP]")</f>
        <v>10.5.25.86</v>
      </c>
      <c r="G4" s="23" t="s">
        <v>251</v>
      </c>
      <c r="H4" s="23" t="s">
        <v>252</v>
      </c>
      <c r="I4" s="23" t="s">
        <v>625</v>
      </c>
      <c r="J4" s="24" t="s">
        <v>254</v>
      </c>
      <c r="K4" s="25" t="s">
        <v>255</v>
      </c>
      <c r="L4" s="23" t="s">
        <v>256</v>
      </c>
      <c r="M4" s="23" t="s">
        <v>626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6" t="s">
        <v>627</v>
      </c>
      <c r="B5" s="26" t="s">
        <v>628</v>
      </c>
      <c r="C5" s="26" t="s">
        <v>36</v>
      </c>
      <c r="D5" s="26" t="str">
        <f>IFERROR(IF('IP Input Sheet'!D13&lt;&gt;"",'IP Input Sheet'!D13,IF('IP Input Sheet'!E13&lt;&gt;"",'IP Input Sheet'!E13,'IP Input Sheet'!F13)),"[Enter IP]")</f>
        <v>10.3.118.18</v>
      </c>
      <c r="E5" s="26" t="s">
        <v>14</v>
      </c>
      <c r="F5" s="26" t="str">
        <f>IFERROR(IF('IP Input Sheet'!D6&lt;&gt;"",'IP Input Sheet'!D6,IF('IP Input Sheet'!E6&lt;&gt;"",'IP Input Sheet'!E6,'IP Input Sheet'!F6)),"[Enter IP]")</f>
        <v>10.5.25.64/26</v>
      </c>
      <c r="G5" s="26" t="s">
        <v>251</v>
      </c>
      <c r="H5" s="26" t="s">
        <v>252</v>
      </c>
      <c r="I5" s="26" t="s">
        <v>629</v>
      </c>
      <c r="J5" s="24" t="s">
        <v>254</v>
      </c>
      <c r="K5" s="25" t="s">
        <v>255</v>
      </c>
      <c r="L5" s="26" t="s">
        <v>261</v>
      </c>
      <c r="M5" s="2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3" t="s">
        <v>630</v>
      </c>
      <c r="B6" s="23" t="s">
        <v>631</v>
      </c>
      <c r="C6" s="23" t="s">
        <v>36</v>
      </c>
      <c r="D6" s="23" t="str">
        <f>IFERROR(IF('IP Input Sheet'!D13&lt;&gt;"",'IP Input Sheet'!D13,IF('IP Input Sheet'!E13&lt;&gt;"",'IP Input Sheet'!E13,'IP Input Sheet'!F13)),"[Enter IP]")</f>
        <v>10.3.118.18</v>
      </c>
      <c r="E6" s="23" t="s">
        <v>14</v>
      </c>
      <c r="F6" s="23" t="str">
        <f>IFERROR(IF('IP Input Sheet'!D6&lt;&gt;"",'IP Input Sheet'!D6,IF('IP Input Sheet'!E6&lt;&gt;"",'IP Input Sheet'!E6,'IP Input Sheet'!F6)),"[Enter IP]")</f>
        <v>10.5.25.64/26</v>
      </c>
      <c r="G6" s="23" t="s">
        <v>632</v>
      </c>
      <c r="H6" s="23" t="s">
        <v>252</v>
      </c>
      <c r="I6" s="23" t="s">
        <v>633</v>
      </c>
      <c r="J6" s="24" t="s">
        <v>254</v>
      </c>
      <c r="K6" s="25" t="s">
        <v>255</v>
      </c>
      <c r="L6" s="23" t="s">
        <v>256</v>
      </c>
      <c r="M6" s="2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6" t="s">
        <v>634</v>
      </c>
      <c r="B7" s="26" t="s">
        <v>635</v>
      </c>
      <c r="C7" s="26" t="s">
        <v>36</v>
      </c>
      <c r="D7" s="26" t="str">
        <f>IFERROR(IF('IP Input Sheet'!D13&lt;&gt;"",'IP Input Sheet'!D13,IF('IP Input Sheet'!E13&lt;&gt;"",'IP Input Sheet'!E13,'IP Input Sheet'!F13)),"[Enter IP]")</f>
        <v>10.3.118.18</v>
      </c>
      <c r="E7" s="26" t="s">
        <v>18</v>
      </c>
      <c r="F7" s="26" t="str">
        <f>IFERROR(IF('IP Input Sheet'!D7&lt;&gt;"",'IP Input Sheet'!D7,IF('IP Input Sheet'!E7&lt;&gt;"",'IP Input Sheet'!E7,'IP Input Sheet'!F7)),"[Enter IP]")</f>
        <v>10.5.25.64/26</v>
      </c>
      <c r="G7" s="26" t="s">
        <v>251</v>
      </c>
      <c r="H7" s="26" t="s">
        <v>252</v>
      </c>
      <c r="I7" s="26" t="s">
        <v>636</v>
      </c>
      <c r="J7" s="24" t="s">
        <v>254</v>
      </c>
      <c r="K7" s="25" t="s">
        <v>255</v>
      </c>
      <c r="L7" s="26" t="s">
        <v>261</v>
      </c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3" t="s">
        <v>637</v>
      </c>
      <c r="B8" s="23" t="s">
        <v>638</v>
      </c>
      <c r="C8" s="23" t="s">
        <v>36</v>
      </c>
      <c r="D8" s="23" t="str">
        <f>IFERROR(IF('IP Input Sheet'!D13&lt;&gt;"",'IP Input Sheet'!D13,IF('IP Input Sheet'!E13&lt;&gt;"",'IP Input Sheet'!E13,'IP Input Sheet'!F13)),"[Enter IP]")</f>
        <v>10.3.118.18</v>
      </c>
      <c r="E8" s="23" t="s">
        <v>639</v>
      </c>
      <c r="F8" s="23" t="str">
        <f>IFERROR(IF('IP Input Sheet'!D8&lt;&gt;"",'IP Input Sheet'!D8,IF('IP Input Sheet'!E8&lt;&gt;"",'IP Input Sheet'!E8,'IP Input Sheet'!F8)),"[Enter IP]")</f>
        <v>10.5.25.64/26</v>
      </c>
      <c r="G8" s="23" t="s">
        <v>640</v>
      </c>
      <c r="H8" s="23" t="s">
        <v>272</v>
      </c>
      <c r="I8" s="23" t="s">
        <v>641</v>
      </c>
      <c r="J8" s="24" t="s">
        <v>254</v>
      </c>
      <c r="K8" s="25" t="s">
        <v>255</v>
      </c>
      <c r="L8" s="23" t="s">
        <v>256</v>
      </c>
      <c r="M8" s="2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6" t="s">
        <v>642</v>
      </c>
      <c r="B9" s="26" t="s">
        <v>643</v>
      </c>
      <c r="C9" s="26" t="s">
        <v>36</v>
      </c>
      <c r="D9" s="26" t="str">
        <f>IFERROR(IF('IP Input Sheet'!D13&lt;&gt;"",'IP Input Sheet'!D13,IF('IP Input Sheet'!E13&lt;&gt;"",'IP Input Sheet'!E13,'IP Input Sheet'!F13)),"[Enter IP]")</f>
        <v>10.3.118.18</v>
      </c>
      <c r="E9" s="26" t="s">
        <v>639</v>
      </c>
      <c r="F9" s="26" t="str">
        <f>IFERROR(IF('IP Input Sheet'!D8&lt;&gt;"",'IP Input Sheet'!D8,IF('IP Input Sheet'!E8&lt;&gt;"",'IP Input Sheet'!E8,'IP Input Sheet'!F8)),"[Enter IP]")</f>
        <v>10.5.25.64/26</v>
      </c>
      <c r="G9" s="26" t="s">
        <v>644</v>
      </c>
      <c r="H9" s="26" t="s">
        <v>252</v>
      </c>
      <c r="I9" s="26" t="s">
        <v>645</v>
      </c>
      <c r="J9" s="24" t="s">
        <v>254</v>
      </c>
      <c r="K9" s="25" t="s">
        <v>255</v>
      </c>
      <c r="L9" s="26" t="s">
        <v>256</v>
      </c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3" t="s">
        <v>646</v>
      </c>
      <c r="B10" s="23" t="s">
        <v>647</v>
      </c>
      <c r="C10" s="23" t="s">
        <v>36</v>
      </c>
      <c r="D10" s="23" t="str">
        <f>IFERROR(IF('IP Input Sheet'!D13&lt;&gt;"",'IP Input Sheet'!D13,IF('IP Input Sheet'!E13&lt;&gt;"",'IP Input Sheet'!E13,'IP Input Sheet'!F13)),"[Enter IP]")</f>
        <v>10.3.118.18</v>
      </c>
      <c r="E10" s="23" t="s">
        <v>648</v>
      </c>
      <c r="F10" s="23" t="str">
        <f>IFERROR(IF('IP Input Sheet'!D9&lt;&gt;"",'IP Input Sheet'!D9,IF('IP Input Sheet'!E9&lt;&gt;"",'IP Input Sheet'!E9,'IP Input Sheet'!F9)),"[Enter IP]")</f>
        <v>10.5.25.64/26</v>
      </c>
      <c r="G10" s="23" t="s">
        <v>378</v>
      </c>
      <c r="H10" s="23" t="s">
        <v>278</v>
      </c>
      <c r="I10" s="23" t="s">
        <v>649</v>
      </c>
      <c r="J10" s="24" t="s">
        <v>254</v>
      </c>
      <c r="K10" s="25" t="s">
        <v>255</v>
      </c>
      <c r="L10" s="23" t="s">
        <v>256</v>
      </c>
      <c r="M10" s="23" t="s">
        <v>650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6" t="s">
        <v>651</v>
      </c>
      <c r="B11" s="26" t="s">
        <v>652</v>
      </c>
      <c r="C11" s="26" t="s">
        <v>267</v>
      </c>
      <c r="D11" s="26" t="str">
        <f>IFERROR(IF('IP Input Sheet'!D14&lt;&gt;"",'IP Input Sheet'!D14,IF('IP Input Sheet'!E14&lt;&gt;"",'IP Input Sheet'!E14,'IP Input Sheet'!F14)),"[Enter IP]")</f>
        <v>10.3.118.0/24</v>
      </c>
      <c r="E11" s="26" t="s">
        <v>14</v>
      </c>
      <c r="F11" s="26" t="str">
        <f>IFERROR(IF('IP Input Sheet'!D6&lt;&gt;"",'IP Input Sheet'!D6,IF('IP Input Sheet'!E6&lt;&gt;"",'IP Input Sheet'!E6,'IP Input Sheet'!F6)),"[Enter IP]")</f>
        <v>10.5.25.64/26</v>
      </c>
      <c r="G11" s="26" t="s">
        <v>251</v>
      </c>
      <c r="H11" s="26" t="s">
        <v>252</v>
      </c>
      <c r="I11" s="26" t="s">
        <v>653</v>
      </c>
      <c r="J11" s="24" t="s">
        <v>254</v>
      </c>
      <c r="K11" s="25" t="s">
        <v>255</v>
      </c>
      <c r="L11" s="26" t="s">
        <v>256</v>
      </c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3" t="s">
        <v>654</v>
      </c>
      <c r="B12" s="23" t="s">
        <v>655</v>
      </c>
      <c r="C12" s="23" t="s">
        <v>267</v>
      </c>
      <c r="D12" s="23" t="str">
        <f>IFERROR(IF('IP Input Sheet'!D14&lt;&gt;"",'IP Input Sheet'!D14,IF('IP Input Sheet'!E14&lt;&gt;"",'IP Input Sheet'!E14,'IP Input Sheet'!F14)),"[Enter IP]")</f>
        <v>10.3.118.0/24</v>
      </c>
      <c r="E12" s="23" t="s">
        <v>639</v>
      </c>
      <c r="F12" s="23" t="str">
        <f>IFERROR(IF('IP Input Sheet'!D8&lt;&gt;"",'IP Input Sheet'!D8,IF('IP Input Sheet'!E8&lt;&gt;"",'IP Input Sheet'!E8,'IP Input Sheet'!F8)),"[Enter IP]")</f>
        <v>10.5.25.64/26</v>
      </c>
      <c r="G12" s="23" t="s">
        <v>640</v>
      </c>
      <c r="H12" s="23" t="s">
        <v>272</v>
      </c>
      <c r="I12" s="23" t="s">
        <v>656</v>
      </c>
      <c r="J12" s="24" t="s">
        <v>254</v>
      </c>
      <c r="K12" s="25" t="s">
        <v>255</v>
      </c>
      <c r="L12" s="23" t="s">
        <v>256</v>
      </c>
      <c r="M12" s="2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6" t="s">
        <v>657</v>
      </c>
      <c r="B13" s="26" t="s">
        <v>658</v>
      </c>
      <c r="C13" s="26" t="s">
        <v>267</v>
      </c>
      <c r="D13" s="26" t="str">
        <f>IFERROR(IF('IP Input Sheet'!D14&lt;&gt;"",'IP Input Sheet'!D14,IF('IP Input Sheet'!E14&lt;&gt;"",'IP Input Sheet'!E14,'IP Input Sheet'!F14)),"[Enter IP]")</f>
        <v>10.3.118.0/24</v>
      </c>
      <c r="E13" s="26" t="s">
        <v>639</v>
      </c>
      <c r="F13" s="26" t="str">
        <f>IFERROR(IF('IP Input Sheet'!D8&lt;&gt;"",'IP Input Sheet'!D8,IF('IP Input Sheet'!E8&lt;&gt;"",'IP Input Sheet'!E8,'IP Input Sheet'!F8)),"[Enter IP]")</f>
        <v>10.5.25.64/26</v>
      </c>
      <c r="G13" s="26" t="s">
        <v>659</v>
      </c>
      <c r="H13" s="26" t="s">
        <v>252</v>
      </c>
      <c r="I13" s="26" t="s">
        <v>645</v>
      </c>
      <c r="J13" s="24" t="s">
        <v>254</v>
      </c>
      <c r="K13" s="25" t="s">
        <v>255</v>
      </c>
      <c r="L13" s="26" t="s">
        <v>256</v>
      </c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3" t="s">
        <v>660</v>
      </c>
      <c r="B14" s="23" t="s">
        <v>661</v>
      </c>
      <c r="C14" s="23" t="s">
        <v>47</v>
      </c>
      <c r="D14" s="23" t="str">
        <f>IFERROR(IF('IP Input Sheet'!D16&lt;&gt;"",'IP Input Sheet'!D16,IF('IP Input Sheet'!E16&lt;&gt;"",'IP Input Sheet'!E16,'IP Input Sheet'!F16)),"[Enter IP]")</f>
        <v>10.3.118.30</v>
      </c>
      <c r="E14" s="23" t="s">
        <v>624</v>
      </c>
      <c r="F14" s="23" t="str">
        <f>IFERROR(IF('IP Input Sheet'!D5&lt;&gt;"",'IP Input Sheet'!D5,IF('IP Input Sheet'!E5&lt;&gt;"",'IP Input Sheet'!E5,'IP Input Sheet'!F5)),"[Enter IP]")</f>
        <v>10.5.25.86</v>
      </c>
      <c r="G14" s="23" t="s">
        <v>251</v>
      </c>
      <c r="H14" s="23" t="s">
        <v>252</v>
      </c>
      <c r="I14" s="23" t="s">
        <v>662</v>
      </c>
      <c r="J14" s="24" t="s">
        <v>254</v>
      </c>
      <c r="K14" s="25" t="s">
        <v>255</v>
      </c>
      <c r="L14" s="23" t="s">
        <v>256</v>
      </c>
      <c r="M14" s="2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6" t="s">
        <v>663</v>
      </c>
      <c r="B15" s="26" t="s">
        <v>664</v>
      </c>
      <c r="C15" s="26" t="s">
        <v>47</v>
      </c>
      <c r="D15" s="26" t="str">
        <f>IFERROR(IF('IP Input Sheet'!D16&lt;&gt;"",'IP Input Sheet'!D16,IF('IP Input Sheet'!E16&lt;&gt;"",'IP Input Sheet'!E16,'IP Input Sheet'!F16)),"[Enter IP]")</f>
        <v>10.3.118.30</v>
      </c>
      <c r="E15" s="26" t="s">
        <v>624</v>
      </c>
      <c r="F15" s="26" t="str">
        <f>IFERROR(IF('IP Input Sheet'!D5&lt;&gt;"",'IP Input Sheet'!D5,IF('IP Input Sheet'!E5&lt;&gt;"",'IP Input Sheet'!E5,'IP Input Sheet'!F5)),"[Enter IP]")</f>
        <v>10.5.25.86</v>
      </c>
      <c r="G15" s="26" t="s">
        <v>287</v>
      </c>
      <c r="H15" s="26" t="s">
        <v>252</v>
      </c>
      <c r="I15" s="26" t="s">
        <v>665</v>
      </c>
      <c r="J15" s="24" t="s">
        <v>254</v>
      </c>
      <c r="K15" s="25" t="s">
        <v>255</v>
      </c>
      <c r="L15" s="26" t="s">
        <v>256</v>
      </c>
      <c r="M15" s="26" t="s">
        <v>289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3" t="s">
        <v>666</v>
      </c>
      <c r="B16" s="23" t="s">
        <v>667</v>
      </c>
      <c r="C16" s="23" t="s">
        <v>47</v>
      </c>
      <c r="D16" s="23" t="str">
        <f>IFERROR(IF('IP Input Sheet'!D16&lt;&gt;"",'IP Input Sheet'!D16,IF('IP Input Sheet'!E16&lt;&gt;"",'IP Input Sheet'!E16,'IP Input Sheet'!F16)),"[Enter IP]")</f>
        <v>10.3.118.30</v>
      </c>
      <c r="E16" s="23" t="s">
        <v>18</v>
      </c>
      <c r="F16" s="23" t="str">
        <f>IFERROR(IF('IP Input Sheet'!D7&lt;&gt;"",'IP Input Sheet'!D7,IF('IP Input Sheet'!E7&lt;&gt;"",'IP Input Sheet'!E7,'IP Input Sheet'!F7)),"[Enter IP]")</f>
        <v>10.5.25.64/26</v>
      </c>
      <c r="G16" s="23" t="s">
        <v>251</v>
      </c>
      <c r="H16" s="23" t="s">
        <v>252</v>
      </c>
      <c r="I16" s="23" t="s">
        <v>668</v>
      </c>
      <c r="J16" s="24" t="s">
        <v>254</v>
      </c>
      <c r="K16" s="25" t="s">
        <v>255</v>
      </c>
      <c r="L16" s="23" t="s">
        <v>256</v>
      </c>
      <c r="M16" s="2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6" t="s">
        <v>669</v>
      </c>
      <c r="B17" s="26" t="s">
        <v>670</v>
      </c>
      <c r="C17" s="26" t="s">
        <v>47</v>
      </c>
      <c r="D17" s="26" t="str">
        <f>IFERROR(IF('IP Input Sheet'!D16&lt;&gt;"",'IP Input Sheet'!D16,IF('IP Input Sheet'!E16&lt;&gt;"",'IP Input Sheet'!E16,'IP Input Sheet'!F16)),"[Enter IP]")</f>
        <v>10.3.118.30</v>
      </c>
      <c r="E17" s="26" t="s">
        <v>18</v>
      </c>
      <c r="F17" s="26" t="str">
        <f>IFERROR(IF('IP Input Sheet'!D7&lt;&gt;"",'IP Input Sheet'!D7,IF('IP Input Sheet'!E7&lt;&gt;"",'IP Input Sheet'!E7,'IP Input Sheet'!F7)),"[Enter IP]")</f>
        <v>10.5.25.64/26</v>
      </c>
      <c r="G17" s="26" t="s">
        <v>287</v>
      </c>
      <c r="H17" s="26" t="s">
        <v>252</v>
      </c>
      <c r="I17" s="26" t="s">
        <v>671</v>
      </c>
      <c r="J17" s="24" t="s">
        <v>254</v>
      </c>
      <c r="K17" s="25" t="s">
        <v>255</v>
      </c>
      <c r="L17" s="26" t="s">
        <v>256</v>
      </c>
      <c r="M17" s="26" t="s">
        <v>289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3" t="s">
        <v>672</v>
      </c>
      <c r="B18" s="23" t="s">
        <v>673</v>
      </c>
      <c r="C18" s="23" t="s">
        <v>47</v>
      </c>
      <c r="D18" s="23" t="str">
        <f>IFERROR(IF('IP Input Sheet'!D16&lt;&gt;"",'IP Input Sheet'!D16,IF('IP Input Sheet'!E16&lt;&gt;"",'IP Input Sheet'!E16,'IP Input Sheet'!F16)),"[Enter IP]")</f>
        <v>10.3.118.30</v>
      </c>
      <c r="E18" s="23" t="s">
        <v>14</v>
      </c>
      <c r="F18" s="23" t="str">
        <f>IFERROR(IF('IP Input Sheet'!D6&lt;&gt;"",'IP Input Sheet'!D6,IF('IP Input Sheet'!E6&lt;&gt;"",'IP Input Sheet'!E6,'IP Input Sheet'!F6)),"[Enter IP]")</f>
        <v>10.5.25.64/26</v>
      </c>
      <c r="G18" s="23" t="s">
        <v>251</v>
      </c>
      <c r="H18" s="23" t="s">
        <v>252</v>
      </c>
      <c r="I18" s="23" t="s">
        <v>674</v>
      </c>
      <c r="J18" s="24" t="s">
        <v>254</v>
      </c>
      <c r="K18" s="25" t="s">
        <v>255</v>
      </c>
      <c r="L18" s="23" t="s">
        <v>256</v>
      </c>
      <c r="M18" s="2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6" t="s">
        <v>675</v>
      </c>
      <c r="B19" s="26" t="s">
        <v>676</v>
      </c>
      <c r="C19" s="26" t="s">
        <v>47</v>
      </c>
      <c r="D19" s="26" t="str">
        <f>IFERROR(IF('IP Input Sheet'!D16&lt;&gt;"",'IP Input Sheet'!D16,IF('IP Input Sheet'!E16&lt;&gt;"",'IP Input Sheet'!E16,'IP Input Sheet'!F16)),"[Enter IP]")</f>
        <v>10.3.118.30</v>
      </c>
      <c r="E19" s="26" t="s">
        <v>14</v>
      </c>
      <c r="F19" s="26" t="str">
        <f>IFERROR(IF('IP Input Sheet'!D6&lt;&gt;"",'IP Input Sheet'!D6,IF('IP Input Sheet'!E6&lt;&gt;"",'IP Input Sheet'!E6,'IP Input Sheet'!F6)),"[Enter IP]")</f>
        <v>10.5.25.64/26</v>
      </c>
      <c r="G19" s="26" t="s">
        <v>287</v>
      </c>
      <c r="H19" s="26" t="s">
        <v>252</v>
      </c>
      <c r="I19" s="26" t="s">
        <v>677</v>
      </c>
      <c r="J19" s="24" t="s">
        <v>254</v>
      </c>
      <c r="K19" s="25" t="s">
        <v>255</v>
      </c>
      <c r="L19" s="26" t="s">
        <v>256</v>
      </c>
      <c r="M19" s="26" t="s">
        <v>289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3" t="s">
        <v>678</v>
      </c>
      <c r="B20" s="23" t="s">
        <v>679</v>
      </c>
      <c r="C20" s="23" t="s">
        <v>47</v>
      </c>
      <c r="D20" s="23" t="str">
        <f>IFERROR(IF('IP Input Sheet'!D16&lt;&gt;"",'IP Input Sheet'!D16,IF('IP Input Sheet'!E16&lt;&gt;"",'IP Input Sheet'!E16,'IP Input Sheet'!F16)),"[Enter IP]")</f>
        <v>10.3.118.30</v>
      </c>
      <c r="E20" s="23" t="s">
        <v>639</v>
      </c>
      <c r="F20" s="23" t="str">
        <f>IFERROR(IF('IP Input Sheet'!D8&lt;&gt;"",'IP Input Sheet'!D8,IF('IP Input Sheet'!E8&lt;&gt;"",'IP Input Sheet'!E8,'IP Input Sheet'!F8)),"[Enter IP]")</f>
        <v>10.5.25.64/26</v>
      </c>
      <c r="G20" s="23" t="s">
        <v>640</v>
      </c>
      <c r="H20" s="23" t="s">
        <v>252</v>
      </c>
      <c r="I20" s="23" t="s">
        <v>680</v>
      </c>
      <c r="J20" s="24" t="s">
        <v>254</v>
      </c>
      <c r="K20" s="25" t="s">
        <v>255</v>
      </c>
      <c r="L20" s="23" t="s">
        <v>256</v>
      </c>
      <c r="M20" s="2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6" t="s">
        <v>681</v>
      </c>
      <c r="B21" s="26" t="s">
        <v>682</v>
      </c>
      <c r="C21" s="26" t="s">
        <v>47</v>
      </c>
      <c r="D21" s="26" t="str">
        <f>IFERROR(IF('IP Input Sheet'!D16&lt;&gt;"",'IP Input Sheet'!D16,IF('IP Input Sheet'!E16&lt;&gt;"",'IP Input Sheet'!E16,'IP Input Sheet'!F16)),"[Enter IP]")</f>
        <v>10.3.118.30</v>
      </c>
      <c r="E21" s="26" t="s">
        <v>639</v>
      </c>
      <c r="F21" s="26" t="str">
        <f>IFERROR(IF('IP Input Sheet'!D8&lt;&gt;"",'IP Input Sheet'!D8,IF('IP Input Sheet'!E8&lt;&gt;"",'IP Input Sheet'!E8,'IP Input Sheet'!F8)),"[Enter IP]")</f>
        <v>10.5.25.64/26</v>
      </c>
      <c r="G21" s="26" t="s">
        <v>683</v>
      </c>
      <c r="H21" s="26" t="s">
        <v>252</v>
      </c>
      <c r="I21" s="26" t="s">
        <v>684</v>
      </c>
      <c r="J21" s="24" t="s">
        <v>254</v>
      </c>
      <c r="K21" s="25" t="s">
        <v>255</v>
      </c>
      <c r="L21" s="26" t="s">
        <v>256</v>
      </c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3" t="s">
        <v>685</v>
      </c>
      <c r="B22" s="23" t="s">
        <v>686</v>
      </c>
      <c r="C22" s="23" t="s">
        <v>47</v>
      </c>
      <c r="D22" s="23" t="str">
        <f>IFERROR(IF('IP Input Sheet'!D16&lt;&gt;"",'IP Input Sheet'!D16,IF('IP Input Sheet'!E16&lt;&gt;"",'IP Input Sheet'!E16,'IP Input Sheet'!F16)),"[Enter IP]")</f>
        <v>10.3.118.30</v>
      </c>
      <c r="E22" s="23" t="s">
        <v>639</v>
      </c>
      <c r="F22" s="23" t="str">
        <f>IFERROR(IF('IP Input Sheet'!D8&lt;&gt;"",'IP Input Sheet'!D8,IF('IP Input Sheet'!E8&lt;&gt;"",'IP Input Sheet'!E8,'IP Input Sheet'!F8)),"[Enter IP]")</f>
        <v>10.5.25.64/26</v>
      </c>
      <c r="G22" s="23" t="s">
        <v>251</v>
      </c>
      <c r="H22" s="23" t="s">
        <v>252</v>
      </c>
      <c r="I22" s="23" t="s">
        <v>687</v>
      </c>
      <c r="J22" s="24" t="s">
        <v>254</v>
      </c>
      <c r="K22" s="25" t="s">
        <v>255</v>
      </c>
      <c r="L22" s="23" t="s">
        <v>256</v>
      </c>
      <c r="M22" s="2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6" t="s">
        <v>688</v>
      </c>
      <c r="B23" s="26" t="s">
        <v>689</v>
      </c>
      <c r="C23" s="26" t="s">
        <v>47</v>
      </c>
      <c r="D23" s="26" t="str">
        <f>IFERROR(IF('IP Input Sheet'!D16&lt;&gt;"",'IP Input Sheet'!D16,IF('IP Input Sheet'!E16&lt;&gt;"",'IP Input Sheet'!E16,'IP Input Sheet'!F16)),"[Enter IP]")</f>
        <v>10.3.118.30</v>
      </c>
      <c r="E23" s="26" t="s">
        <v>639</v>
      </c>
      <c r="F23" s="26" t="str">
        <f>IFERROR(IF('IP Input Sheet'!D8&lt;&gt;"",'IP Input Sheet'!D8,IF('IP Input Sheet'!E8&lt;&gt;"",'IP Input Sheet'!E8,'IP Input Sheet'!F8)),"[Enter IP]")</f>
        <v>10.5.25.64/26</v>
      </c>
      <c r="G23" s="26" t="s">
        <v>690</v>
      </c>
      <c r="H23" s="26" t="s">
        <v>252</v>
      </c>
      <c r="I23" s="26" t="s">
        <v>691</v>
      </c>
      <c r="J23" s="24" t="s">
        <v>254</v>
      </c>
      <c r="K23" s="25" t="s">
        <v>255</v>
      </c>
      <c r="L23" s="26" t="s">
        <v>256</v>
      </c>
      <c r="M23" s="2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3" t="s">
        <v>692</v>
      </c>
      <c r="B24" s="23" t="s">
        <v>693</v>
      </c>
      <c r="C24" s="23" t="s">
        <v>47</v>
      </c>
      <c r="D24" s="23" t="str">
        <f>IFERROR(IF('IP Input Sheet'!D16&lt;&gt;"",'IP Input Sheet'!D16,IF('IP Input Sheet'!E16&lt;&gt;"",'IP Input Sheet'!E16,'IP Input Sheet'!F16)),"[Enter IP]")</f>
        <v>10.3.118.30</v>
      </c>
      <c r="E24" s="23" t="s">
        <v>27</v>
      </c>
      <c r="F24" s="23" t="str">
        <f>IFERROR(IF('IP Input Sheet'!D10&lt;&gt;"",'IP Input Sheet'!D10,IF('IP Input Sheet'!E10&lt;&gt;"",'IP Input Sheet'!E10,'IP Input Sheet'!F10)),"[Enter IP]")</f>
        <v>10.3.118.0/24</v>
      </c>
      <c r="G24" s="23" t="s">
        <v>251</v>
      </c>
      <c r="H24" s="23" t="s">
        <v>252</v>
      </c>
      <c r="I24" s="23" t="s">
        <v>694</v>
      </c>
      <c r="J24" s="24" t="s">
        <v>254</v>
      </c>
      <c r="K24" s="25" t="s">
        <v>255</v>
      </c>
      <c r="L24" s="23" t="s">
        <v>256</v>
      </c>
      <c r="M24" s="23" t="s">
        <v>695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26" t="s">
        <v>696</v>
      </c>
      <c r="B25" s="26" t="s">
        <v>697</v>
      </c>
      <c r="C25" s="26" t="s">
        <v>47</v>
      </c>
      <c r="D25" s="26" t="str">
        <f>IFERROR(IF('IP Input Sheet'!D16&lt;&gt;"",'IP Input Sheet'!D16,IF('IP Input Sheet'!E16&lt;&gt;"",'IP Input Sheet'!E16,'IP Input Sheet'!F16)),"[Enter IP]")</f>
        <v>10.3.118.30</v>
      </c>
      <c r="E25" s="26" t="s">
        <v>27</v>
      </c>
      <c r="F25" s="26" t="str">
        <f>IFERROR(IF('IP Input Sheet'!D10&lt;&gt;"",'IP Input Sheet'!D10,IF('IP Input Sheet'!E10&lt;&gt;"",'IP Input Sheet'!E10,'IP Input Sheet'!F10)),"[Enter IP]")</f>
        <v>10.3.118.0/24</v>
      </c>
      <c r="G25" s="26" t="s">
        <v>287</v>
      </c>
      <c r="H25" s="26" t="s">
        <v>252</v>
      </c>
      <c r="I25" s="26" t="s">
        <v>698</v>
      </c>
      <c r="J25" s="24" t="s">
        <v>254</v>
      </c>
      <c r="K25" s="25" t="s">
        <v>255</v>
      </c>
      <c r="L25" s="26" t="s">
        <v>256</v>
      </c>
      <c r="M25" s="26" t="s">
        <v>699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3" t="s">
        <v>700</v>
      </c>
      <c r="B26" s="23" t="s">
        <v>701</v>
      </c>
      <c r="C26" s="23" t="s">
        <v>282</v>
      </c>
      <c r="D26" s="23" t="str">
        <f>IFERROR(IF('IP Input Sheet'!D54&lt;&gt;"",'IP Input Sheet'!D54,IF('IP Input Sheet'!E54&lt;&gt;"",'IP Input Sheet'!E54,'IP Input Sheet'!F54)),"[Enter IP]")</f>
        <v>10.3.118.0/24</v>
      </c>
      <c r="E26" s="23" t="s">
        <v>639</v>
      </c>
      <c r="F26" s="23" t="str">
        <f>IFERROR(IF('IP Input Sheet'!D8&lt;&gt;"",'IP Input Sheet'!D8,IF('IP Input Sheet'!E8&lt;&gt;"",'IP Input Sheet'!E8,'IP Input Sheet'!F8)),"[Enter IP]")</f>
        <v>10.5.25.64/26</v>
      </c>
      <c r="G26" s="23" t="s">
        <v>640</v>
      </c>
      <c r="H26" s="23" t="s">
        <v>272</v>
      </c>
      <c r="I26" s="23" t="s">
        <v>702</v>
      </c>
      <c r="J26" s="24" t="s">
        <v>254</v>
      </c>
      <c r="K26" s="25" t="s">
        <v>255</v>
      </c>
      <c r="L26" s="23" t="s">
        <v>256</v>
      </c>
      <c r="M26" s="23" t="s">
        <v>703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6" t="s">
        <v>704</v>
      </c>
      <c r="B27" s="26" t="s">
        <v>705</v>
      </c>
      <c r="C27" s="26" t="s">
        <v>282</v>
      </c>
      <c r="D27" s="26" t="str">
        <f>IFERROR(IF('IP Input Sheet'!D54&lt;&gt;"",'IP Input Sheet'!D54,IF('IP Input Sheet'!E54&lt;&gt;"",'IP Input Sheet'!E54,'IP Input Sheet'!F54)),"[Enter IP]")</f>
        <v>10.3.118.0/24</v>
      </c>
      <c r="E27" s="26" t="s">
        <v>639</v>
      </c>
      <c r="F27" s="26" t="str">
        <f>IFERROR(IF('IP Input Sheet'!D8&lt;&gt;"",'IP Input Sheet'!D8,IF('IP Input Sheet'!E8&lt;&gt;"",'IP Input Sheet'!E8,'IP Input Sheet'!F8)),"[Enter IP]")</f>
        <v>10.5.25.64/26</v>
      </c>
      <c r="G27" s="26" t="s">
        <v>644</v>
      </c>
      <c r="H27" s="26" t="s">
        <v>252</v>
      </c>
      <c r="I27" s="26" t="s">
        <v>706</v>
      </c>
      <c r="J27" s="24" t="s">
        <v>254</v>
      </c>
      <c r="K27" s="25" t="s">
        <v>255</v>
      </c>
      <c r="L27" s="26" t="s">
        <v>256</v>
      </c>
      <c r="M27" s="2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3" t="s">
        <v>707</v>
      </c>
      <c r="B28" s="23" t="s">
        <v>708</v>
      </c>
      <c r="C28" s="23" t="s">
        <v>282</v>
      </c>
      <c r="D28" s="23" t="str">
        <f>IFERROR(IF('IP Input Sheet'!D54&lt;&gt;"",'IP Input Sheet'!D54,IF('IP Input Sheet'!E54&lt;&gt;"",'IP Input Sheet'!E54,'IP Input Sheet'!F54)),"[Enter IP]")</f>
        <v>10.3.118.0/24</v>
      </c>
      <c r="E28" s="23" t="s">
        <v>648</v>
      </c>
      <c r="F28" s="23" t="str">
        <f>IFERROR(IF('IP Input Sheet'!D9&lt;&gt;"",'IP Input Sheet'!D9,IF('IP Input Sheet'!E9&lt;&gt;"",'IP Input Sheet'!E9,'IP Input Sheet'!F9)),"[Enter IP]")</f>
        <v>10.5.25.64/26</v>
      </c>
      <c r="G28" s="23" t="s">
        <v>383</v>
      </c>
      <c r="H28" s="23" t="s">
        <v>272</v>
      </c>
      <c r="I28" s="23" t="s">
        <v>709</v>
      </c>
      <c r="J28" s="24" t="s">
        <v>254</v>
      </c>
      <c r="K28" s="25" t="s">
        <v>255</v>
      </c>
      <c r="L28" s="23" t="s">
        <v>256</v>
      </c>
      <c r="M28" s="2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6" t="s">
        <v>710</v>
      </c>
      <c r="B29" s="26" t="s">
        <v>711</v>
      </c>
      <c r="C29" s="26" t="s">
        <v>593</v>
      </c>
      <c r="D29" s="26" t="str">
        <f>IFERROR(IF('IP Input Sheet'!D18&lt;&gt;"",'IP Input Sheet'!D18,IF('IP Input Sheet'!E18&lt;&gt;"",'IP Input Sheet'!E18,'IP Input Sheet'!F18)),"[Enter IP]")</f>
        <v>10.3.118.0/24</v>
      </c>
      <c r="E29" s="26" t="s">
        <v>639</v>
      </c>
      <c r="F29" s="26" t="str">
        <f>IFERROR(IF('IP Input Sheet'!D8&lt;&gt;"",'IP Input Sheet'!D8,IF('IP Input Sheet'!E8&lt;&gt;"",'IP Input Sheet'!E8,'IP Input Sheet'!F8)),"[Enter IP]")</f>
        <v>10.5.25.64/26</v>
      </c>
      <c r="G29" s="26" t="s">
        <v>640</v>
      </c>
      <c r="H29" s="26" t="s">
        <v>272</v>
      </c>
      <c r="I29" s="26" t="s">
        <v>712</v>
      </c>
      <c r="J29" s="24" t="s">
        <v>254</v>
      </c>
      <c r="K29" s="25" t="s">
        <v>255</v>
      </c>
      <c r="L29" s="26" t="s">
        <v>256</v>
      </c>
      <c r="M29" s="2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3" t="s">
        <v>713</v>
      </c>
      <c r="B30" s="23" t="s">
        <v>714</v>
      </c>
      <c r="C30" s="23" t="s">
        <v>593</v>
      </c>
      <c r="D30" s="23" t="str">
        <f>IFERROR(IF('IP Input Sheet'!D18&lt;&gt;"",'IP Input Sheet'!D18,IF('IP Input Sheet'!E18&lt;&gt;"",'IP Input Sheet'!E18,'IP Input Sheet'!F18)),"[Enter IP]")</f>
        <v>10.3.118.0/24</v>
      </c>
      <c r="E30" s="23" t="s">
        <v>639</v>
      </c>
      <c r="F30" s="23" t="str">
        <f>IFERROR(IF('IP Input Sheet'!D8&lt;&gt;"",'IP Input Sheet'!D8,IF('IP Input Sheet'!E8&lt;&gt;"",'IP Input Sheet'!E8,'IP Input Sheet'!F8)),"[Enter IP]")</f>
        <v>10.5.25.64/26</v>
      </c>
      <c r="G30" s="23" t="s">
        <v>644</v>
      </c>
      <c r="H30" s="23" t="s">
        <v>252</v>
      </c>
      <c r="I30" s="23" t="s">
        <v>715</v>
      </c>
      <c r="J30" s="24" t="s">
        <v>254</v>
      </c>
      <c r="K30" s="25" t="s">
        <v>255</v>
      </c>
      <c r="L30" s="23" t="s">
        <v>256</v>
      </c>
      <c r="M30" s="2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26" t="s">
        <v>716</v>
      </c>
      <c r="B31" s="26" t="s">
        <v>717</v>
      </c>
      <c r="C31" s="26" t="s">
        <v>718</v>
      </c>
      <c r="D31" s="26" t="str">
        <f>IFERROR(IF('IP Input Sheet'!D18&lt;&gt;"",'IP Input Sheet'!D18,IF('IP Input Sheet'!E18&lt;&gt;"",'IP Input Sheet'!E18,'IP Input Sheet'!F18)),"[Enter IP]")</f>
        <v>10.3.118.0/24</v>
      </c>
      <c r="E31" s="26" t="s">
        <v>719</v>
      </c>
      <c r="F31" s="26" t="s">
        <v>720</v>
      </c>
      <c r="G31" s="26" t="s">
        <v>721</v>
      </c>
      <c r="H31" s="26" t="s">
        <v>721</v>
      </c>
      <c r="I31" s="26" t="s">
        <v>722</v>
      </c>
      <c r="J31" s="24" t="s">
        <v>254</v>
      </c>
      <c r="K31" s="25" t="s">
        <v>255</v>
      </c>
      <c r="L31" s="26" t="s">
        <v>261</v>
      </c>
      <c r="M31" s="26" t="s">
        <v>723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3" t="s">
        <v>724</v>
      </c>
      <c r="B32" s="23" t="s">
        <v>725</v>
      </c>
      <c r="C32" s="23" t="s">
        <v>403</v>
      </c>
      <c r="D32" s="23" t="str">
        <f>IFERROR(IF('IP Input Sheet'!D19&lt;&gt;"",'IP Input Sheet'!D19,IF('IP Input Sheet'!E19&lt;&gt;"",'IP Input Sheet'!E19,'IP Input Sheet'!F19)),"[Enter IP]")</f>
        <v>10.3.118.101</v>
      </c>
      <c r="E32" s="23" t="s">
        <v>377</v>
      </c>
      <c r="F32" s="23" t="str">
        <f>IFERROR(IF('IP Input Sheet'!D9&lt;&gt;"",'IP Input Sheet'!D9,IF('IP Input Sheet'!E9&lt;&gt;"",'IP Input Sheet'!E9,'IP Input Sheet'!F9)),"[Enter IP]")</f>
        <v>10.5.25.64/26</v>
      </c>
      <c r="G32" s="23" t="s">
        <v>251</v>
      </c>
      <c r="H32" s="23" t="s">
        <v>252</v>
      </c>
      <c r="I32" s="23" t="s">
        <v>726</v>
      </c>
      <c r="J32" s="24" t="s">
        <v>254</v>
      </c>
      <c r="K32" s="25" t="s">
        <v>255</v>
      </c>
      <c r="L32" s="23" t="s">
        <v>256</v>
      </c>
      <c r="M32" s="23" t="s">
        <v>405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6" t="s">
        <v>727</v>
      </c>
      <c r="B33" s="26" t="s">
        <v>728</v>
      </c>
      <c r="C33" s="26" t="s">
        <v>403</v>
      </c>
      <c r="D33" s="26" t="str">
        <f>IFERROR(IF('IP Input Sheet'!D19&lt;&gt;"",'IP Input Sheet'!D19,IF('IP Input Sheet'!E19&lt;&gt;"",'IP Input Sheet'!E19,'IP Input Sheet'!F19)),"[Enter IP]")</f>
        <v>10.3.118.101</v>
      </c>
      <c r="E33" s="26" t="s">
        <v>267</v>
      </c>
      <c r="F33" s="26" t="str">
        <f>IFERROR(IF('IP Input Sheet'!D14&lt;&gt;"",'IP Input Sheet'!D14,IF('IP Input Sheet'!E14&lt;&gt;"",'IP Input Sheet'!E14,'IP Input Sheet'!F14)),"[Enter IP]")</f>
        <v>10.3.118.0/24</v>
      </c>
      <c r="G33" s="26" t="s">
        <v>251</v>
      </c>
      <c r="H33" s="26" t="s">
        <v>252</v>
      </c>
      <c r="I33" s="26" t="s">
        <v>729</v>
      </c>
      <c r="J33" s="24" t="s">
        <v>254</v>
      </c>
      <c r="K33" s="25" t="s">
        <v>255</v>
      </c>
      <c r="L33" s="26" t="s">
        <v>256</v>
      </c>
      <c r="M33" s="26" t="s">
        <v>413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23" t="s">
        <v>730</v>
      </c>
      <c r="B34" s="23" t="s">
        <v>731</v>
      </c>
      <c r="C34" s="23" t="s">
        <v>403</v>
      </c>
      <c r="D34" s="23" t="str">
        <f>IFERROR(IF('IP Input Sheet'!D19&lt;&gt;"",'IP Input Sheet'!D19,IF('IP Input Sheet'!E19&lt;&gt;"",'IP Input Sheet'!E19,'IP Input Sheet'!F19)),"[Enter IP]")</f>
        <v>10.3.118.101</v>
      </c>
      <c r="E34" s="23" t="s">
        <v>36</v>
      </c>
      <c r="F34" s="23" t="str">
        <f>IFERROR(IF('IP Input Sheet'!D13&lt;&gt;"",'IP Input Sheet'!D13,IF('IP Input Sheet'!E13&lt;&gt;"",'IP Input Sheet'!E13,'IP Input Sheet'!F13)),"[Enter IP]")</f>
        <v>10.3.118.18</v>
      </c>
      <c r="G34" s="23" t="s">
        <v>251</v>
      </c>
      <c r="H34" s="23" t="s">
        <v>252</v>
      </c>
      <c r="I34" s="23" t="s">
        <v>732</v>
      </c>
      <c r="J34" s="24" t="s">
        <v>254</v>
      </c>
      <c r="K34" s="25" t="s">
        <v>255</v>
      </c>
      <c r="L34" s="23" t="s">
        <v>256</v>
      </c>
      <c r="M34" s="23" t="s">
        <v>413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26" t="s">
        <v>733</v>
      </c>
      <c r="B35" s="26" t="s">
        <v>734</v>
      </c>
      <c r="C35" s="26" t="s">
        <v>47</v>
      </c>
      <c r="D35" s="26" t="str">
        <f>IFERROR(IF('IP Input Sheet'!D16&lt;&gt;"",'IP Input Sheet'!D16,IF('IP Input Sheet'!E16&lt;&gt;"",'IP Input Sheet'!E16,'IP Input Sheet'!F16)),"[Enter IP]")</f>
        <v>10.3.118.30</v>
      </c>
      <c r="E35" s="26" t="s">
        <v>403</v>
      </c>
      <c r="F35" s="26" t="str">
        <f>IFERROR(IF('IP Input Sheet'!D19&lt;&gt;"",'IP Input Sheet'!D19,IF('IP Input Sheet'!E19&lt;&gt;"",'IP Input Sheet'!E19,'IP Input Sheet'!F19)),"[Enter IP]")</f>
        <v>10.3.118.101</v>
      </c>
      <c r="G35" s="26" t="s">
        <v>251</v>
      </c>
      <c r="H35" s="26" t="s">
        <v>252</v>
      </c>
      <c r="I35" s="26" t="s">
        <v>735</v>
      </c>
      <c r="J35" s="24" t="s">
        <v>254</v>
      </c>
      <c r="K35" s="25" t="s">
        <v>255</v>
      </c>
      <c r="L35" s="26" t="s">
        <v>256</v>
      </c>
      <c r="M35" s="26" t="s">
        <v>413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1" t="s">
        <v>736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5.5" customHeight="1">
      <c r="A37" s="33" t="s">
        <v>737</v>
      </c>
      <c r="B37" s="33" t="s">
        <v>738</v>
      </c>
      <c r="C37" s="34" t="s">
        <v>528</v>
      </c>
      <c r="D37" s="34" t="str">
        <f>IFERROR(IF('IP Input Sheet'!D14&lt;&gt;"",'IP Input Sheet'!D14,IF('IP Input Sheet'!E14&lt;&gt;"",'IP Input Sheet'!E14,'IP Input Sheet'!F14)),"[Enter IP]")</f>
        <v>10.3.118.0/24</v>
      </c>
      <c r="E37" s="34" t="s">
        <v>512</v>
      </c>
      <c r="F37" s="34" t="str">
        <f>IFERROR(IF('IP Input Sheet'!D15&lt;&gt;"",'IP Input Sheet'!D15,IF('IP Input Sheet'!E15&lt;&gt;"",'IP Input Sheet'!E15,'IP Input Sheet'!F15)),"[Enter IP]")</f>
        <v>10.3.118.0/24</v>
      </c>
      <c r="G37" s="34" t="s">
        <v>251</v>
      </c>
      <c r="H37" s="34" t="s">
        <v>252</v>
      </c>
      <c r="I37" s="34" t="s">
        <v>739</v>
      </c>
      <c r="J37" s="24" t="s">
        <v>254</v>
      </c>
      <c r="K37" s="28" t="s">
        <v>255</v>
      </c>
      <c r="L37" s="34" t="s">
        <v>256</v>
      </c>
      <c r="M37" s="34" t="s">
        <v>740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5.5" customHeight="1">
      <c r="A38" s="33" t="s">
        <v>741</v>
      </c>
      <c r="B38" s="33" t="s">
        <v>742</v>
      </c>
      <c r="C38" s="34" t="s">
        <v>528</v>
      </c>
      <c r="D38" s="34" t="str">
        <f>IFERROR(IF('IP Input Sheet'!D14&lt;&gt;"",'IP Input Sheet'!D14,IF('IP Input Sheet'!E14&lt;&gt;"",'IP Input Sheet'!E14,'IP Input Sheet'!F14)),"[Enter IP]")</f>
        <v>10.3.118.0/24</v>
      </c>
      <c r="E38" s="34" t="s">
        <v>512</v>
      </c>
      <c r="F38" s="34" t="str">
        <f>IFERROR(IF('IP Input Sheet'!D15&lt;&gt;"",'IP Input Sheet'!D15,IF('IP Input Sheet'!E15&lt;&gt;"",'IP Input Sheet'!E15,'IP Input Sheet'!F15)),"[Enter IP]")</f>
        <v>10.3.118.0/24</v>
      </c>
      <c r="G38" s="34" t="s">
        <v>518</v>
      </c>
      <c r="H38" s="34" t="s">
        <v>252</v>
      </c>
      <c r="I38" s="34" t="s">
        <v>743</v>
      </c>
      <c r="J38" s="24" t="s">
        <v>254</v>
      </c>
      <c r="K38" s="28" t="s">
        <v>255</v>
      </c>
      <c r="L38" s="34" t="s">
        <v>256</v>
      </c>
      <c r="M38" s="34" t="s">
        <v>744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5.5" customHeight="1">
      <c r="A39" s="29" t="s">
        <v>510</v>
      </c>
      <c r="B39" s="29" t="s">
        <v>745</v>
      </c>
      <c r="C39" s="29" t="s">
        <v>512</v>
      </c>
      <c r="D39" s="29" t="str">
        <f>IFERROR(IF('IP Input Sheet'!D15&lt;&gt;"",'IP Input Sheet'!D15,IF('IP Input Sheet'!E15&lt;&gt;"",'IP Input Sheet'!E15,'IP Input Sheet'!F15)),"[Enter IP]")</f>
        <v>10.3.118.0/24</v>
      </c>
      <c r="E39" s="29" t="s">
        <v>528</v>
      </c>
      <c r="F39" s="29" t="str">
        <f>IFERROR(IF('IP Input Sheet'!D14&lt;&gt;"",'IP Input Sheet'!D14,IF('IP Input Sheet'!E14&lt;&gt;"",'IP Input Sheet'!E14,'IP Input Sheet'!F14)),"[Enter IP]")</f>
        <v>10.3.118.0/24</v>
      </c>
      <c r="G39" s="29" t="s">
        <v>251</v>
      </c>
      <c r="H39" s="29" t="s">
        <v>252</v>
      </c>
      <c r="I39" s="29" t="s">
        <v>746</v>
      </c>
      <c r="J39" s="24" t="s">
        <v>254</v>
      </c>
      <c r="K39" s="28" t="s">
        <v>255</v>
      </c>
      <c r="L39" s="29" t="s">
        <v>261</v>
      </c>
      <c r="M39" s="29" t="s">
        <v>747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5.5" customHeight="1">
      <c r="A40" s="27" t="s">
        <v>737</v>
      </c>
      <c r="B40" s="27" t="s">
        <v>748</v>
      </c>
      <c r="C40" s="27" t="s">
        <v>528</v>
      </c>
      <c r="D40" s="27" t="str">
        <f>IFERROR(IF('IP Input Sheet'!D14&lt;&gt;"",'IP Input Sheet'!D14,IF('IP Input Sheet'!E14&lt;&gt;"",'IP Input Sheet'!E14,'IP Input Sheet'!F14)),"[Enter IP]")</f>
        <v>10.3.118.0/24</v>
      </c>
      <c r="E40" s="27" t="s">
        <v>512</v>
      </c>
      <c r="F40" s="27" t="str">
        <f>IFERROR(IF('IP Input Sheet'!D15&lt;&gt;"",'IP Input Sheet'!D15,IF('IP Input Sheet'!E15&lt;&gt;"",'IP Input Sheet'!E15,'IP Input Sheet'!F15)),"[Enter IP]")</f>
        <v>10.3.118.0/24</v>
      </c>
      <c r="G40" s="27" t="s">
        <v>251</v>
      </c>
      <c r="H40" s="27" t="s">
        <v>252</v>
      </c>
      <c r="I40" s="27" t="s">
        <v>749</v>
      </c>
      <c r="J40" s="24" t="s">
        <v>254</v>
      </c>
      <c r="K40" s="28" t="s">
        <v>255</v>
      </c>
      <c r="L40" s="27" t="s">
        <v>261</v>
      </c>
      <c r="M40" s="27" t="s">
        <v>750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1.75" customHeight="1">
      <c r="A41" s="29" t="s">
        <v>516</v>
      </c>
      <c r="B41" s="35" t="s">
        <v>751</v>
      </c>
      <c r="C41" s="29" t="s">
        <v>512</v>
      </c>
      <c r="D41" s="29" t="str">
        <f>IFERROR(IF('IP Input Sheet'!D15&lt;&gt;"",'IP Input Sheet'!D15,IF('IP Input Sheet'!E15&lt;&gt;"",'IP Input Sheet'!E15,'IP Input Sheet'!F15)),"[Enter IP]")</f>
        <v>10.3.118.0/24</v>
      </c>
      <c r="E41" s="29" t="s">
        <v>528</v>
      </c>
      <c r="F41" s="29" t="str">
        <f>IFERROR(IF('IP Input Sheet'!D14&lt;&gt;"",'IP Input Sheet'!D14,IF('IP Input Sheet'!E14&lt;&gt;"",'IP Input Sheet'!E14,'IP Input Sheet'!F14)),"[Enter IP]")</f>
        <v>10.3.118.0/24</v>
      </c>
      <c r="G41" s="29" t="s">
        <v>518</v>
      </c>
      <c r="H41" s="29" t="s">
        <v>252</v>
      </c>
      <c r="I41" s="29" t="s">
        <v>752</v>
      </c>
      <c r="J41" s="24" t="s">
        <v>254</v>
      </c>
      <c r="K41" s="28" t="s">
        <v>255</v>
      </c>
      <c r="L41" s="29" t="s">
        <v>261</v>
      </c>
      <c r="M41" s="29" t="s">
        <v>753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5.5" customHeight="1">
      <c r="A42" s="27" t="s">
        <v>741</v>
      </c>
      <c r="B42" s="35" t="s">
        <v>754</v>
      </c>
      <c r="C42" s="27" t="s">
        <v>528</v>
      </c>
      <c r="D42" s="27" t="str">
        <f>IFERROR(IF('IP Input Sheet'!D14&lt;&gt;"",'IP Input Sheet'!D14,IF('IP Input Sheet'!E14&lt;&gt;"",'IP Input Sheet'!E14,'IP Input Sheet'!F14)),"[Enter IP]")</f>
        <v>10.3.118.0/24</v>
      </c>
      <c r="E42" s="27" t="s">
        <v>512</v>
      </c>
      <c r="F42" s="27" t="str">
        <f>IFERROR(IF('IP Input Sheet'!D15&lt;&gt;"",'IP Input Sheet'!D15,IF('IP Input Sheet'!E15&lt;&gt;"",'IP Input Sheet'!E15,'IP Input Sheet'!F15)),"[Enter IP]")</f>
        <v>10.3.118.0/24</v>
      </c>
      <c r="G42" s="27" t="s">
        <v>518</v>
      </c>
      <c r="H42" s="27" t="s">
        <v>252</v>
      </c>
      <c r="I42" s="27" t="s">
        <v>755</v>
      </c>
      <c r="J42" s="24" t="s">
        <v>254</v>
      </c>
      <c r="K42" s="28" t="s">
        <v>255</v>
      </c>
      <c r="L42" s="27" t="s">
        <v>261</v>
      </c>
      <c r="M42" s="27" t="s">
        <v>756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9.0" customHeight="1">
      <c r="A43" s="29" t="s">
        <v>521</v>
      </c>
      <c r="B43" s="29" t="s">
        <v>757</v>
      </c>
      <c r="C43" s="29" t="s">
        <v>532</v>
      </c>
      <c r="D43" s="29" t="str">
        <f>IFERROR(IF('IP Input Sheet'!D22&lt;&gt;"",'IP Input Sheet'!D22,IF('IP Input Sheet'!E22&lt;&gt;"",'IP Input Sheet'!E22,'IP Input Sheet'!F22)),"[Enter IP]")</f>
        <v>10.3.111.101</v>
      </c>
      <c r="E43" s="29" t="s">
        <v>533</v>
      </c>
      <c r="F43" s="29" t="str">
        <f>IFERROR(IF('IP Input Sheet'!D26&lt;&gt;"",'IP Input Sheet'!D26,IF('IP Input Sheet'!E26&lt;&gt;"",'IP Input Sheet'!E26,'IP Input Sheet'!F26)),"[Enter IP]")</f>
        <v>10.3.111.133</v>
      </c>
      <c r="G43" s="29" t="s">
        <v>418</v>
      </c>
      <c r="H43" s="29" t="s">
        <v>252</v>
      </c>
      <c r="I43" s="29" t="s">
        <v>758</v>
      </c>
      <c r="J43" s="24" t="s">
        <v>254</v>
      </c>
      <c r="K43" s="28" t="s">
        <v>255</v>
      </c>
      <c r="L43" s="29" t="s">
        <v>261</v>
      </c>
      <c r="M43" s="29" t="s">
        <v>759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9.0" customHeight="1">
      <c r="A44" s="27" t="s">
        <v>760</v>
      </c>
      <c r="B44" s="27" t="s">
        <v>761</v>
      </c>
      <c r="C44" s="27" t="s">
        <v>762</v>
      </c>
      <c r="D44" s="27" t="str">
        <f>IFERROR(IF('IP Input Sheet'!D31&lt;&gt;"",'IP Input Sheet'!D31,IF('IP Input Sheet'!E31&lt;&gt;"",'IP Input Sheet'!E31,'IP Input Sheet'!F31)),"[Enter IP]")</f>
        <v>10.5.22.0/24</v>
      </c>
      <c r="E44" s="27" t="s">
        <v>763</v>
      </c>
      <c r="F44" s="27" t="str">
        <f>IFERROR(IF('IP Input Sheet'!D31&lt;&gt;"",'IP Input Sheet'!D31,IF('IP Input Sheet'!E31&lt;&gt;"",'IP Input Sheet'!E31,'IP Input Sheet'!F31)),"[Enter IP]")</f>
        <v>10.5.22.0/24</v>
      </c>
      <c r="G44" s="27" t="s">
        <v>456</v>
      </c>
      <c r="H44" s="27" t="s">
        <v>278</v>
      </c>
      <c r="I44" s="27" t="s">
        <v>764</v>
      </c>
      <c r="J44" s="24" t="s">
        <v>254</v>
      </c>
      <c r="K44" s="28" t="s">
        <v>255</v>
      </c>
      <c r="L44" s="27" t="s">
        <v>261</v>
      </c>
      <c r="M44" s="27" t="s">
        <v>765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9" t="s">
        <v>766</v>
      </c>
      <c r="B45" s="35" t="s">
        <v>767</v>
      </c>
      <c r="C45" s="29" t="s">
        <v>545</v>
      </c>
      <c r="D45" s="29" t="str">
        <f>IFERROR(IF('IP Input Sheet'!D13&lt;&gt;"",'IP Input Sheet'!D13,IF('IP Input Sheet'!E13&lt;&gt;"",'IP Input Sheet'!E13,'IP Input Sheet'!F13)),"[Enter IP]")</f>
        <v>10.3.118.18</v>
      </c>
      <c r="E45" s="29" t="s">
        <v>10</v>
      </c>
      <c r="F45" s="29" t="str">
        <f>IFERROR(IF('IP Input Sheet'!D5&lt;&gt;"",'IP Input Sheet'!D5,IF('IP Input Sheet'!E5&lt;&gt;"",'IP Input Sheet'!E5,'IP Input Sheet'!F5)),"[Enter IP]")</f>
        <v>10.5.25.86</v>
      </c>
      <c r="G45" s="29" t="s">
        <v>546</v>
      </c>
      <c r="H45" s="29" t="s">
        <v>252</v>
      </c>
      <c r="I45" s="29" t="s">
        <v>768</v>
      </c>
      <c r="J45" s="24" t="s">
        <v>254</v>
      </c>
      <c r="K45" s="28" t="s">
        <v>255</v>
      </c>
      <c r="L45" s="29" t="s">
        <v>261</v>
      </c>
      <c r="M45" s="29" t="s">
        <v>769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7" t="s">
        <v>770</v>
      </c>
      <c r="B46" s="35" t="s">
        <v>771</v>
      </c>
      <c r="C46" s="27" t="s">
        <v>47</v>
      </c>
      <c r="D46" s="27" t="str">
        <f>IFERROR(IF('IP Input Sheet'!D16&lt;&gt;"",'IP Input Sheet'!D16,IF('IP Input Sheet'!E16&lt;&gt;"",'IP Input Sheet'!E16,'IP Input Sheet'!F16)),"[Enter IP]")</f>
        <v>10.3.118.30</v>
      </c>
      <c r="E46" s="27" t="s">
        <v>772</v>
      </c>
      <c r="F46" s="27" t="str">
        <f>IFERROR(IF('IP Input Sheet'!D13&lt;&gt;"",'IP Input Sheet'!D13,IF('IP Input Sheet'!E13&lt;&gt;"",'IP Input Sheet'!E13,'IP Input Sheet'!F13)),"[Enter IP]")</f>
        <v>10.3.118.18</v>
      </c>
      <c r="G46" s="27" t="s">
        <v>546</v>
      </c>
      <c r="H46" s="27" t="s">
        <v>252</v>
      </c>
      <c r="I46" s="27" t="s">
        <v>773</v>
      </c>
      <c r="J46" s="24" t="s">
        <v>254</v>
      </c>
      <c r="K46" s="28" t="s">
        <v>255</v>
      </c>
      <c r="L46" s="27" t="s">
        <v>256</v>
      </c>
      <c r="M46" s="27" t="s">
        <v>774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9" t="s">
        <v>775</v>
      </c>
      <c r="B47" s="35" t="s">
        <v>776</v>
      </c>
      <c r="C47" s="29" t="s">
        <v>593</v>
      </c>
      <c r="D47" s="29" t="str">
        <f>IFERROR(IF('IP Input Sheet'!D18&lt;&gt;"",'IP Input Sheet'!D18,IF('IP Input Sheet'!E18&lt;&gt;"",'IP Input Sheet'!E18,'IP Input Sheet'!F18)),"[Enter IP]")</f>
        <v>10.3.118.0/24</v>
      </c>
      <c r="E47" s="29" t="s">
        <v>545</v>
      </c>
      <c r="F47" s="29" t="str">
        <f>IFERROR(IF('IP Input Sheet'!D13&lt;&gt;"",'IP Input Sheet'!D13,IF('IP Input Sheet'!E13&lt;&gt;"",'IP Input Sheet'!E13,'IP Input Sheet'!F13)),"[Enter IP]")</f>
        <v>10.3.118.18</v>
      </c>
      <c r="G47" s="29" t="s">
        <v>546</v>
      </c>
      <c r="H47" s="29" t="s">
        <v>252</v>
      </c>
      <c r="I47" s="29" t="s">
        <v>777</v>
      </c>
      <c r="J47" s="24" t="s">
        <v>254</v>
      </c>
      <c r="K47" s="28" t="s">
        <v>255</v>
      </c>
      <c r="L47" s="29" t="s">
        <v>256</v>
      </c>
      <c r="M47" s="29" t="s">
        <v>778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7" t="s">
        <v>779</v>
      </c>
      <c r="B48" s="35" t="s">
        <v>780</v>
      </c>
      <c r="C48" s="27" t="s">
        <v>781</v>
      </c>
      <c r="D48" s="27" t="str">
        <f>IFERROR(IF('IP Input Sheet'!D13&lt;&gt;"",'IP Input Sheet'!D13,IF('IP Input Sheet'!E13&lt;&gt;"",'IP Input Sheet'!E13,'IP Input Sheet'!F13)),"[Enter IP]")</f>
        <v>10.3.118.18</v>
      </c>
      <c r="E48" s="27" t="s">
        <v>782</v>
      </c>
      <c r="F48" s="27" t="str">
        <f>IFERROR(IF('IP Input Sheet'!D20&lt;&gt;"",'IP Input Sheet'!D20,IF('IP Input Sheet'!E20&lt;&gt;"",'IP Input Sheet'!E20,'IP Input Sheet'!F20)),"[Enter IP]")</f>
        <v>192.168.188.1</v>
      </c>
      <c r="G48" s="27" t="s">
        <v>568</v>
      </c>
      <c r="H48" s="27" t="s">
        <v>252</v>
      </c>
      <c r="I48" s="27" t="s">
        <v>783</v>
      </c>
      <c r="J48" s="24" t="s">
        <v>254</v>
      </c>
      <c r="K48" s="28" t="s">
        <v>255</v>
      </c>
      <c r="L48" s="27" t="s">
        <v>261</v>
      </c>
      <c r="M48" s="27" t="s">
        <v>784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9" t="s">
        <v>785</v>
      </c>
      <c r="B49" s="35" t="s">
        <v>786</v>
      </c>
      <c r="C49" s="29" t="s">
        <v>787</v>
      </c>
      <c r="D49" s="29" t="str">
        <f>IFERROR(IF('IP Input Sheet'!D20&lt;&gt;"",'IP Input Sheet'!D20,IF('IP Input Sheet'!E20&lt;&gt;"",'IP Input Sheet'!E20,'IP Input Sheet'!F20)),"[Enter IP]")</f>
        <v>192.168.188.1</v>
      </c>
      <c r="E49" s="29" t="s">
        <v>788</v>
      </c>
      <c r="F49" s="29" t="s">
        <v>789</v>
      </c>
      <c r="G49" s="29" t="s">
        <v>568</v>
      </c>
      <c r="H49" s="29" t="s">
        <v>252</v>
      </c>
      <c r="I49" s="29" t="s">
        <v>790</v>
      </c>
      <c r="J49" s="24" t="s">
        <v>254</v>
      </c>
      <c r="K49" s="28" t="s">
        <v>255</v>
      </c>
      <c r="L49" s="29" t="s">
        <v>256</v>
      </c>
      <c r="M49" s="29" t="s">
        <v>791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27" t="s">
        <v>510</v>
      </c>
      <c r="B50" s="27" t="s">
        <v>792</v>
      </c>
      <c r="C50" s="27" t="s">
        <v>512</v>
      </c>
      <c r="D50" s="27" t="str">
        <f>IFERROR(IF('IP Input Sheet'!D15&lt;&gt;"",'IP Input Sheet'!D15,IF('IP Input Sheet'!E15&lt;&gt;"",'IP Input Sheet'!E15,'IP Input Sheet'!F15)),"[Enter IP]")</f>
        <v>10.3.118.0/24</v>
      </c>
      <c r="E50" s="27" t="s">
        <v>528</v>
      </c>
      <c r="F50" s="27" t="str">
        <f>IFERROR(IF('IP Input Sheet'!D14&lt;&gt;"",'IP Input Sheet'!D14,IF('IP Input Sheet'!E14&lt;&gt;"",'IP Input Sheet'!E14,'IP Input Sheet'!F14)),"[Enter IP]")</f>
        <v>10.3.118.0/24</v>
      </c>
      <c r="G50" s="27" t="s">
        <v>251</v>
      </c>
      <c r="H50" s="27" t="s">
        <v>252</v>
      </c>
      <c r="I50" s="27" t="s">
        <v>793</v>
      </c>
      <c r="J50" s="24" t="s">
        <v>254</v>
      </c>
      <c r="K50" s="28" t="s">
        <v>255</v>
      </c>
      <c r="L50" s="27" t="s">
        <v>261</v>
      </c>
      <c r="M50" s="27" t="s">
        <v>794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9" t="s">
        <v>737</v>
      </c>
      <c r="B51" s="35" t="s">
        <v>795</v>
      </c>
      <c r="C51" s="29" t="s">
        <v>512</v>
      </c>
      <c r="D51" s="29" t="str">
        <f>IFERROR(IF('IP Input Sheet'!D15&lt;&gt;"",'IP Input Sheet'!D15,IF('IP Input Sheet'!E15&lt;&gt;"",'IP Input Sheet'!E15,'IP Input Sheet'!F15)),"[Enter IP]")</f>
        <v>10.3.118.0/24</v>
      </c>
      <c r="E51" s="29" t="s">
        <v>528</v>
      </c>
      <c r="F51" s="29" t="str">
        <f>IFERROR(IF('IP Input Sheet'!D14&lt;&gt;"",'IP Input Sheet'!D14,IF('IP Input Sheet'!E14&lt;&gt;"",'IP Input Sheet'!E14,'IP Input Sheet'!F14)),"[Enter IP]")</f>
        <v>10.3.118.0/24</v>
      </c>
      <c r="G51" s="29" t="s">
        <v>518</v>
      </c>
      <c r="H51" s="29" t="s">
        <v>252</v>
      </c>
      <c r="I51" s="29" t="s">
        <v>796</v>
      </c>
      <c r="J51" s="24" t="s">
        <v>254</v>
      </c>
      <c r="K51" s="28" t="s">
        <v>255</v>
      </c>
      <c r="L51" s="29" t="s">
        <v>261</v>
      </c>
      <c r="M51" s="29" t="s">
        <v>797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27" t="s">
        <v>516</v>
      </c>
      <c r="B52" s="27" t="s">
        <v>798</v>
      </c>
      <c r="C52" s="27" t="s">
        <v>799</v>
      </c>
      <c r="D52" s="27" t="str">
        <f>IFERROR(IF('IP Input Sheet'!D22&lt;&gt;"",'IP Input Sheet'!D22,IF('IP Input Sheet'!E22&lt;&gt;"",'IP Input Sheet'!E22,'IP Input Sheet'!F22)),"[Enter IP]")</f>
        <v>10.3.111.101</v>
      </c>
      <c r="E52" s="27" t="s">
        <v>800</v>
      </c>
      <c r="F52" s="27" t="str">
        <f>IFERROR(IF('IP Input Sheet'!D26&lt;&gt;"",'IP Input Sheet'!D26,IF('IP Input Sheet'!E26&lt;&gt;"",'IP Input Sheet'!E26,'IP Input Sheet'!F26)),"[Enter IP]")</f>
        <v>10.3.111.133</v>
      </c>
      <c r="G52" s="27" t="s">
        <v>418</v>
      </c>
      <c r="H52" s="27" t="s">
        <v>252</v>
      </c>
      <c r="I52" s="27" t="s">
        <v>801</v>
      </c>
      <c r="J52" s="24" t="s">
        <v>254</v>
      </c>
      <c r="K52" s="28" t="s">
        <v>255</v>
      </c>
      <c r="L52" s="27" t="s">
        <v>261</v>
      </c>
      <c r="M52" s="27" t="s">
        <v>802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29" t="s">
        <v>741</v>
      </c>
      <c r="B53" s="29" t="s">
        <v>803</v>
      </c>
      <c r="C53" s="29" t="s">
        <v>804</v>
      </c>
      <c r="D53" s="29" t="str">
        <f>IFERROR(IF('IP Input Sheet'!D31&lt;&gt;"",'IP Input Sheet'!D31,IF('IP Input Sheet'!E31&lt;&gt;"",'IP Input Sheet'!E31,'IP Input Sheet'!F31)),"[Enter IP]")</f>
        <v>10.5.22.0/24</v>
      </c>
      <c r="E53" s="29" t="s">
        <v>805</v>
      </c>
      <c r="F53" s="29" t="str">
        <f>IFERROR(IF('IP Input Sheet'!D31&lt;&gt;"",'IP Input Sheet'!D31,IF('IP Input Sheet'!E31&lt;&gt;"",'IP Input Sheet'!E31,'IP Input Sheet'!F31)),"[Enter IP]")</f>
        <v>10.5.22.0/24</v>
      </c>
      <c r="G53" s="29" t="s">
        <v>456</v>
      </c>
      <c r="H53" s="29" t="s">
        <v>278</v>
      </c>
      <c r="I53" s="29" t="s">
        <v>806</v>
      </c>
      <c r="J53" s="24" t="s">
        <v>254</v>
      </c>
      <c r="K53" s="28" t="s">
        <v>255</v>
      </c>
      <c r="L53" s="29" t="s">
        <v>261</v>
      </c>
      <c r="M53" s="29" t="s">
        <v>807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13"/>
      <c r="B55" s="13" t="s">
        <v>808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3" t="s">
        <v>809</v>
      </c>
      <c r="B56" s="23" t="s">
        <v>810</v>
      </c>
      <c r="C56" s="23" t="s">
        <v>36</v>
      </c>
      <c r="D56" s="23" t="str">
        <f>IFERROR(IF('IP Input Sheet'!D13&lt;&gt;"",'IP Input Sheet'!D13,IF('IP Input Sheet'!E13&lt;&gt;"",'IP Input Sheet'!E13,'IP Input Sheet'!F13)),"[Enter IP]")</f>
        <v>10.3.118.18</v>
      </c>
      <c r="E56" s="23" t="s">
        <v>582</v>
      </c>
      <c r="F56" s="23" t="str">
        <f>IFERROR(IF('IP Input Sheet'!D20&lt;&gt;"",'IP Input Sheet'!D20,IF('IP Input Sheet'!E20&lt;&gt;"",'IP Input Sheet'!E20,'IP Input Sheet'!F20)),"[Enter IP]")</f>
        <v>192.168.188.1</v>
      </c>
      <c r="G56" s="23" t="s">
        <v>251</v>
      </c>
      <c r="H56" s="23" t="s">
        <v>252</v>
      </c>
      <c r="I56" s="23" t="s">
        <v>811</v>
      </c>
      <c r="J56" s="24" t="s">
        <v>254</v>
      </c>
      <c r="K56" s="25" t="s">
        <v>255</v>
      </c>
      <c r="L56" s="23" t="s">
        <v>256</v>
      </c>
      <c r="M56" s="23" t="s">
        <v>812</v>
      </c>
      <c r="N56" s="13" t="s">
        <v>813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3" t="s">
        <v>814</v>
      </c>
      <c r="B57" s="23" t="s">
        <v>815</v>
      </c>
      <c r="C57" s="23" t="s">
        <v>36</v>
      </c>
      <c r="D57" s="23" t="str">
        <f>IFERROR(IF('IP Input Sheet'!D13&lt;&gt;"",'IP Input Sheet'!D13,IF('IP Input Sheet'!E13&lt;&gt;"",'IP Input Sheet'!E13,'IP Input Sheet'!F13)),"[Enter IP]")</f>
        <v>10.3.118.18</v>
      </c>
      <c r="E57" s="23" t="s">
        <v>582</v>
      </c>
      <c r="F57" s="23" t="str">
        <f>IFERROR(IF('IP Input Sheet'!D20&lt;&gt;"",'IP Input Sheet'!D20,IF('IP Input Sheet'!E20&lt;&gt;"",'IP Input Sheet'!E20,'IP Input Sheet'!F20)),"[Enter IP]")</f>
        <v>192.168.188.1</v>
      </c>
      <c r="G57" s="23" t="s">
        <v>546</v>
      </c>
      <c r="H57" s="23" t="s">
        <v>252</v>
      </c>
      <c r="I57" s="23" t="s">
        <v>816</v>
      </c>
      <c r="J57" s="24" t="s">
        <v>254</v>
      </c>
      <c r="K57" s="25" t="s">
        <v>255</v>
      </c>
      <c r="L57" s="23" t="s">
        <v>256</v>
      </c>
      <c r="M57" s="23" t="s">
        <v>817</v>
      </c>
      <c r="N57" s="13" t="s">
        <v>817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3" t="s">
        <v>818</v>
      </c>
      <c r="B58" s="23" t="s">
        <v>819</v>
      </c>
      <c r="C58" s="23" t="s">
        <v>593</v>
      </c>
      <c r="D58" s="23" t="str">
        <f>IFERROR(IF('IP Input Sheet'!D18&lt;&gt;"",'IP Input Sheet'!D18,IF('IP Input Sheet'!E18&lt;&gt;"",'IP Input Sheet'!E18,'IP Input Sheet'!F18)),"[Enter IP]")</f>
        <v>10.3.118.0/24</v>
      </c>
      <c r="E58" s="23" t="s">
        <v>582</v>
      </c>
      <c r="F58" s="23" t="str">
        <f>IFERROR(IF('IP Input Sheet'!D20&lt;&gt;"",'IP Input Sheet'!D20,IF('IP Input Sheet'!E20&lt;&gt;"",'IP Input Sheet'!E20,'IP Input Sheet'!F20)),"[Enter IP]")</f>
        <v>192.168.188.1</v>
      </c>
      <c r="G58" s="23" t="s">
        <v>355</v>
      </c>
      <c r="H58" s="23" t="s">
        <v>272</v>
      </c>
      <c r="I58" s="23" t="s">
        <v>820</v>
      </c>
      <c r="J58" s="24" t="s">
        <v>254</v>
      </c>
      <c r="K58" s="25" t="s">
        <v>255</v>
      </c>
      <c r="L58" s="23" t="s">
        <v>261</v>
      </c>
      <c r="M58" s="23" t="s">
        <v>821</v>
      </c>
      <c r="N58" s="13" t="s">
        <v>822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3" t="s">
        <v>823</v>
      </c>
      <c r="B59" s="23" t="s">
        <v>824</v>
      </c>
      <c r="C59" s="23" t="s">
        <v>593</v>
      </c>
      <c r="D59" s="23" t="str">
        <f>IFERROR(IF('IP Input Sheet'!D18&lt;&gt;"",'IP Input Sheet'!D18,IF('IP Input Sheet'!E18&lt;&gt;"",'IP Input Sheet'!E18,'IP Input Sheet'!F18)),"[Enter IP]")</f>
        <v>10.3.118.0/24</v>
      </c>
      <c r="E59" s="23" t="s">
        <v>582</v>
      </c>
      <c r="F59" s="23" t="str">
        <f>IFERROR(IF('IP Input Sheet'!D20&lt;&gt;"",'IP Input Sheet'!D20,IF('IP Input Sheet'!E20&lt;&gt;"",'IP Input Sheet'!E20,'IP Input Sheet'!F20)),"[Enter IP]")</f>
        <v>192.168.188.1</v>
      </c>
      <c r="G59" s="23" t="s">
        <v>599</v>
      </c>
      <c r="H59" s="23" t="s">
        <v>252</v>
      </c>
      <c r="I59" s="23" t="s">
        <v>825</v>
      </c>
      <c r="J59" s="24" t="s">
        <v>254</v>
      </c>
      <c r="K59" s="25" t="s">
        <v>255</v>
      </c>
      <c r="L59" s="23" t="s">
        <v>256</v>
      </c>
      <c r="M59" s="23" t="s">
        <v>822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36:M3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4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42.0"/>
  </cols>
  <sheetData>
    <row r="1" ht="27.75" customHeight="1">
      <c r="A1" s="22" t="s">
        <v>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827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237</v>
      </c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243</v>
      </c>
      <c r="I3" s="6" t="s">
        <v>244</v>
      </c>
      <c r="J3" s="6" t="s">
        <v>245</v>
      </c>
      <c r="K3" s="6" t="s">
        <v>246</v>
      </c>
      <c r="L3" s="6" t="s">
        <v>247</v>
      </c>
      <c r="M3" s="6" t="s">
        <v>248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3" t="s">
        <v>828</v>
      </c>
      <c r="B4" s="23" t="s">
        <v>270</v>
      </c>
      <c r="C4" s="23" t="s">
        <v>10</v>
      </c>
      <c r="D4" s="23" t="str">
        <f>IFERROR(IF('IP Input Sheet'!D5&lt;&gt;"",'IP Input Sheet'!D5,IF('IP Input Sheet'!E5&lt;&gt;"",'IP Input Sheet'!E5,'IP Input Sheet'!F5)),"[Enter IP]")</f>
        <v>10.5.25.86</v>
      </c>
      <c r="E4" s="23" t="s">
        <v>203</v>
      </c>
      <c r="F4" s="23" t="str">
        <f>'IP Input Sheet'!D60</f>
        <v/>
      </c>
      <c r="G4" s="23" t="s">
        <v>271</v>
      </c>
      <c r="H4" s="23" t="s">
        <v>272</v>
      </c>
      <c r="I4" s="23" t="s">
        <v>273</v>
      </c>
      <c r="J4" s="24" t="s">
        <v>254</v>
      </c>
      <c r="K4" s="25" t="s">
        <v>255</v>
      </c>
      <c r="L4" s="23" t="s">
        <v>261</v>
      </c>
      <c r="M4" s="23" t="s">
        <v>274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6" t="s">
        <v>829</v>
      </c>
      <c r="B5" s="26" t="s">
        <v>276</v>
      </c>
      <c r="C5" s="26" t="s">
        <v>10</v>
      </c>
      <c r="D5" s="26" t="str">
        <f>IFERROR(IF('IP Input Sheet'!D5&lt;&gt;"",'IP Input Sheet'!D5,IF('IP Input Sheet'!E5&lt;&gt;"",'IP Input Sheet'!E5,'IP Input Sheet'!F5)),"[Enter IP]")</f>
        <v>10.5.25.86</v>
      </c>
      <c r="E5" s="26" t="s">
        <v>207</v>
      </c>
      <c r="F5" s="26" t="str">
        <f>'IP Input Sheet'!D61</f>
        <v/>
      </c>
      <c r="G5" s="26" t="s">
        <v>277</v>
      </c>
      <c r="H5" s="26" t="s">
        <v>278</v>
      </c>
      <c r="I5" s="26" t="s">
        <v>619</v>
      </c>
      <c r="J5" s="24" t="s">
        <v>254</v>
      </c>
      <c r="K5" s="25" t="s">
        <v>255</v>
      </c>
      <c r="L5" s="26" t="s">
        <v>256</v>
      </c>
      <c r="M5" s="2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23" t="s">
        <v>830</v>
      </c>
      <c r="B6" s="23" t="s">
        <v>831</v>
      </c>
      <c r="C6" s="23" t="s">
        <v>14</v>
      </c>
      <c r="D6" s="23" t="str">
        <f>IFERROR(IF('IP Input Sheet'!D6&lt;&gt;"",'IP Input Sheet'!D6,IF('IP Input Sheet'!E6&lt;&gt;"",'IP Input Sheet'!E6,'IP Input Sheet'!F6)),"[Enter IP]")</f>
        <v>10.5.25.64/26</v>
      </c>
      <c r="E6" s="23" t="s">
        <v>203</v>
      </c>
      <c r="F6" s="23" t="str">
        <f>'IP Input Sheet'!D60</f>
        <v/>
      </c>
      <c r="G6" s="23" t="s">
        <v>271</v>
      </c>
      <c r="H6" s="23" t="s">
        <v>272</v>
      </c>
      <c r="I6" s="23" t="s">
        <v>832</v>
      </c>
      <c r="J6" s="24" t="s">
        <v>254</v>
      </c>
      <c r="K6" s="25" t="s">
        <v>255</v>
      </c>
      <c r="L6" s="23" t="s">
        <v>256</v>
      </c>
      <c r="M6" s="23" t="s">
        <v>833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6" t="s">
        <v>834</v>
      </c>
      <c r="B7" s="26" t="s">
        <v>835</v>
      </c>
      <c r="C7" s="26" t="s">
        <v>14</v>
      </c>
      <c r="D7" s="26" t="str">
        <f>IFERROR(IF('IP Input Sheet'!D6&lt;&gt;"",'IP Input Sheet'!D6,IF('IP Input Sheet'!E6&lt;&gt;"",'IP Input Sheet'!E6,'IP Input Sheet'!F6)),"[Enter IP]")</f>
        <v>10.5.25.64/26</v>
      </c>
      <c r="E7" s="26" t="s">
        <v>207</v>
      </c>
      <c r="F7" s="26" t="str">
        <f>'IP Input Sheet'!D61</f>
        <v/>
      </c>
      <c r="G7" s="26" t="s">
        <v>277</v>
      </c>
      <c r="H7" s="26" t="s">
        <v>278</v>
      </c>
      <c r="I7" s="26" t="s">
        <v>619</v>
      </c>
      <c r="J7" s="24" t="s">
        <v>254</v>
      </c>
      <c r="K7" s="25" t="s">
        <v>255</v>
      </c>
      <c r="L7" s="26" t="s">
        <v>256</v>
      </c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3" t="s">
        <v>836</v>
      </c>
      <c r="B8" s="23" t="s">
        <v>837</v>
      </c>
      <c r="C8" s="23" t="s">
        <v>14</v>
      </c>
      <c r="D8" s="23" t="str">
        <f>IFERROR(IF('IP Input Sheet'!D6&lt;&gt;"",'IP Input Sheet'!D6,IF('IP Input Sheet'!E6&lt;&gt;"",'IP Input Sheet'!E6,'IP Input Sheet'!F6)),"[Enter IP]")</f>
        <v>10.5.25.64/26</v>
      </c>
      <c r="E8" s="23" t="s">
        <v>322</v>
      </c>
      <c r="F8" s="23" t="str">
        <f>'IP Input Sheet'!D62</f>
        <v/>
      </c>
      <c r="G8" s="23" t="s">
        <v>323</v>
      </c>
      <c r="H8" s="23" t="s">
        <v>252</v>
      </c>
      <c r="I8" s="23" t="s">
        <v>324</v>
      </c>
      <c r="J8" s="24" t="s">
        <v>254</v>
      </c>
      <c r="K8" s="25" t="s">
        <v>255</v>
      </c>
      <c r="L8" s="23" t="s">
        <v>256</v>
      </c>
      <c r="M8" s="2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6" t="s">
        <v>838</v>
      </c>
      <c r="B9" s="26" t="s">
        <v>839</v>
      </c>
      <c r="C9" s="26" t="s">
        <v>14</v>
      </c>
      <c r="D9" s="26" t="str">
        <f>IFERROR(IF('IP Input Sheet'!D6&lt;&gt;"",'IP Input Sheet'!D6,IF('IP Input Sheet'!E6&lt;&gt;"",'IP Input Sheet'!E6,'IP Input Sheet'!F6)),"[Enter IP]")</f>
        <v>10.5.25.64/26</v>
      </c>
      <c r="E9" s="26" t="s">
        <v>322</v>
      </c>
      <c r="F9" s="26" t="str">
        <f>'IP Input Sheet'!D62</f>
        <v/>
      </c>
      <c r="G9" s="26" t="s">
        <v>327</v>
      </c>
      <c r="H9" s="26" t="s">
        <v>252</v>
      </c>
      <c r="I9" s="26" t="s">
        <v>840</v>
      </c>
      <c r="J9" s="24" t="s">
        <v>254</v>
      </c>
      <c r="K9" s="25" t="s">
        <v>255</v>
      </c>
      <c r="L9" s="26" t="s">
        <v>256</v>
      </c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3" t="s">
        <v>841</v>
      </c>
      <c r="B10" s="23" t="s">
        <v>842</v>
      </c>
      <c r="C10" s="23" t="s">
        <v>14</v>
      </c>
      <c r="D10" s="23" t="str">
        <f>IFERROR(IF('IP Input Sheet'!D6&lt;&gt;"",'IP Input Sheet'!D6,IF('IP Input Sheet'!E6&lt;&gt;"",'IP Input Sheet'!E6,'IP Input Sheet'!F6)),"[Enter IP]")</f>
        <v>10.5.25.64/26</v>
      </c>
      <c r="E10" s="23" t="s">
        <v>322</v>
      </c>
      <c r="F10" s="23" t="str">
        <f>'IP Input Sheet'!D62</f>
        <v/>
      </c>
      <c r="G10" s="23" t="s">
        <v>331</v>
      </c>
      <c r="H10" s="23" t="s">
        <v>252</v>
      </c>
      <c r="I10" s="23" t="s">
        <v>843</v>
      </c>
      <c r="J10" s="24" t="s">
        <v>254</v>
      </c>
      <c r="K10" s="25" t="s">
        <v>255</v>
      </c>
      <c r="L10" s="23" t="s">
        <v>256</v>
      </c>
      <c r="M10" s="2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6" t="s">
        <v>844</v>
      </c>
      <c r="B11" s="26" t="s">
        <v>845</v>
      </c>
      <c r="C11" s="26" t="s">
        <v>14</v>
      </c>
      <c r="D11" s="26" t="str">
        <f>IFERROR(IF('IP Input Sheet'!D6&lt;&gt;"",'IP Input Sheet'!D6,IF('IP Input Sheet'!E6&lt;&gt;"",'IP Input Sheet'!E6,'IP Input Sheet'!F6)),"[Enter IP]")</f>
        <v>10.5.25.64/26</v>
      </c>
      <c r="E11" s="26" t="s">
        <v>335</v>
      </c>
      <c r="F11" s="26" t="str">
        <f>'IP Input Sheet'!D64</f>
        <v/>
      </c>
      <c r="G11" s="26" t="s">
        <v>287</v>
      </c>
      <c r="H11" s="26" t="s">
        <v>252</v>
      </c>
      <c r="I11" s="26" t="s">
        <v>846</v>
      </c>
      <c r="J11" s="24" t="s">
        <v>254</v>
      </c>
      <c r="K11" s="25" t="s">
        <v>255</v>
      </c>
      <c r="L11" s="26" t="s">
        <v>256</v>
      </c>
      <c r="M11" s="26" t="s">
        <v>847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3" t="s">
        <v>848</v>
      </c>
      <c r="B12" s="23" t="s">
        <v>849</v>
      </c>
      <c r="C12" s="23" t="s">
        <v>27</v>
      </c>
      <c r="D12" s="23" t="str">
        <f>IFERROR(IF('IP Input Sheet'!D10&lt;&gt;"",'IP Input Sheet'!D10,IF('IP Input Sheet'!E10&lt;&gt;"",'IP Input Sheet'!E10,'IP Input Sheet'!F10)),"[Enter IP]")</f>
        <v>10.3.118.0/24</v>
      </c>
      <c r="E12" s="23" t="s">
        <v>322</v>
      </c>
      <c r="F12" s="23" t="str">
        <f>'IP Input Sheet'!D62</f>
        <v/>
      </c>
      <c r="G12" s="23" t="s">
        <v>323</v>
      </c>
      <c r="H12" s="23" t="s">
        <v>272</v>
      </c>
      <c r="I12" s="23" t="s">
        <v>850</v>
      </c>
      <c r="J12" s="24" t="s">
        <v>254</v>
      </c>
      <c r="K12" s="25" t="s">
        <v>255</v>
      </c>
      <c r="L12" s="23" t="s">
        <v>256</v>
      </c>
      <c r="M12" s="23" t="s">
        <v>851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6" t="s">
        <v>852</v>
      </c>
      <c r="B13" s="26" t="s">
        <v>853</v>
      </c>
      <c r="C13" s="26" t="s">
        <v>27</v>
      </c>
      <c r="D13" s="26" t="str">
        <f>IFERROR(IF('IP Input Sheet'!D10&lt;&gt;"",'IP Input Sheet'!D10,IF('IP Input Sheet'!E10&lt;&gt;"",'IP Input Sheet'!E10,'IP Input Sheet'!F10)),"[Enter IP]")</f>
        <v>10.3.118.0/24</v>
      </c>
      <c r="E13" s="26" t="s">
        <v>322</v>
      </c>
      <c r="F13" s="26" t="str">
        <f>'IP Input Sheet'!D62</f>
        <v/>
      </c>
      <c r="G13" s="26" t="s">
        <v>327</v>
      </c>
      <c r="H13" s="26" t="s">
        <v>252</v>
      </c>
      <c r="I13" s="26" t="s">
        <v>840</v>
      </c>
      <c r="J13" s="24" t="s">
        <v>254</v>
      </c>
      <c r="K13" s="25" t="s">
        <v>255</v>
      </c>
      <c r="L13" s="26" t="s">
        <v>256</v>
      </c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3" t="s">
        <v>854</v>
      </c>
      <c r="B14" s="23" t="s">
        <v>855</v>
      </c>
      <c r="C14" s="23" t="s">
        <v>27</v>
      </c>
      <c r="D14" s="23" t="str">
        <f>IFERROR(IF('IP Input Sheet'!D10&lt;&gt;"",'IP Input Sheet'!D10,IF('IP Input Sheet'!E10&lt;&gt;"",'IP Input Sheet'!E10,'IP Input Sheet'!F10)),"[Enter IP]")</f>
        <v>10.3.118.0/24</v>
      </c>
      <c r="E14" s="23" t="s">
        <v>856</v>
      </c>
      <c r="F14" s="23" t="s">
        <v>857</v>
      </c>
      <c r="G14" s="23" t="s">
        <v>251</v>
      </c>
      <c r="H14" s="23" t="s">
        <v>252</v>
      </c>
      <c r="I14" s="23" t="s">
        <v>858</v>
      </c>
      <c r="J14" s="24" t="s">
        <v>254</v>
      </c>
      <c r="K14" s="25" t="s">
        <v>255</v>
      </c>
      <c r="L14" s="23" t="s">
        <v>256</v>
      </c>
      <c r="M14" s="23" t="s">
        <v>859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6" t="s">
        <v>860</v>
      </c>
      <c r="B15" s="26" t="s">
        <v>861</v>
      </c>
      <c r="C15" s="26" t="s">
        <v>27</v>
      </c>
      <c r="D15" s="26" t="str">
        <f>IFERROR(IF('IP Input Sheet'!D10&lt;&gt;"",'IP Input Sheet'!D10,IF('IP Input Sheet'!E10&lt;&gt;"",'IP Input Sheet'!E10,'IP Input Sheet'!F10)),"[Enter IP]")</f>
        <v>10.3.118.0/24</v>
      </c>
      <c r="E15" s="26" t="s">
        <v>203</v>
      </c>
      <c r="F15" s="26" t="str">
        <f>'IP Input Sheet'!D60</f>
        <v/>
      </c>
      <c r="G15" s="26" t="s">
        <v>271</v>
      </c>
      <c r="H15" s="26" t="s">
        <v>272</v>
      </c>
      <c r="I15" s="26" t="s">
        <v>862</v>
      </c>
      <c r="J15" s="24" t="s">
        <v>254</v>
      </c>
      <c r="K15" s="25" t="s">
        <v>255</v>
      </c>
      <c r="L15" s="26" t="s">
        <v>256</v>
      </c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3" t="s">
        <v>863</v>
      </c>
      <c r="B16" s="23" t="s">
        <v>864</v>
      </c>
      <c r="C16" s="23" t="s">
        <v>27</v>
      </c>
      <c r="D16" s="23" t="str">
        <f>IFERROR(IF('IP Input Sheet'!D10&lt;&gt;"",'IP Input Sheet'!D10,IF('IP Input Sheet'!E10&lt;&gt;"",'IP Input Sheet'!E10,'IP Input Sheet'!F10)),"[Enter IP]")</f>
        <v>10.3.118.0/24</v>
      </c>
      <c r="E16" s="23" t="s">
        <v>207</v>
      </c>
      <c r="F16" s="23" t="str">
        <f>'IP Input Sheet'!D61</f>
        <v/>
      </c>
      <c r="G16" s="23" t="s">
        <v>277</v>
      </c>
      <c r="H16" s="23" t="s">
        <v>278</v>
      </c>
      <c r="I16" s="23" t="s">
        <v>619</v>
      </c>
      <c r="J16" s="24" t="s">
        <v>254</v>
      </c>
      <c r="K16" s="25" t="s">
        <v>255</v>
      </c>
      <c r="L16" s="23" t="s">
        <v>256</v>
      </c>
      <c r="M16" s="2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6" t="s">
        <v>865</v>
      </c>
      <c r="B17" s="26" t="s">
        <v>866</v>
      </c>
      <c r="C17" s="26" t="s">
        <v>27</v>
      </c>
      <c r="D17" s="26" t="str">
        <f>IFERROR(IF('IP Input Sheet'!D10&lt;&gt;"",'IP Input Sheet'!D10,IF('IP Input Sheet'!E10&lt;&gt;"",'IP Input Sheet'!E10,'IP Input Sheet'!F10)),"[Enter IP]")</f>
        <v>10.3.118.0/24</v>
      </c>
      <c r="E17" s="26" t="s">
        <v>335</v>
      </c>
      <c r="F17" s="26" t="str">
        <f>'IP Input Sheet'!D64</f>
        <v/>
      </c>
      <c r="G17" s="26" t="s">
        <v>287</v>
      </c>
      <c r="H17" s="26" t="s">
        <v>252</v>
      </c>
      <c r="I17" s="26" t="s">
        <v>867</v>
      </c>
      <c r="J17" s="24" t="s">
        <v>254</v>
      </c>
      <c r="K17" s="25" t="s">
        <v>255</v>
      </c>
      <c r="L17" s="26" t="s">
        <v>256</v>
      </c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3" t="s">
        <v>868</v>
      </c>
      <c r="B18" s="23" t="s">
        <v>869</v>
      </c>
      <c r="C18" s="23" t="s">
        <v>27</v>
      </c>
      <c r="D18" s="23" t="str">
        <f>IFERROR(IF('IP Input Sheet'!D10&lt;&gt;"",'IP Input Sheet'!D10,IF('IP Input Sheet'!E10&lt;&gt;"",'IP Input Sheet'!E10,'IP Input Sheet'!F10)),"[Enter IP]")</f>
        <v>10.3.118.0/24</v>
      </c>
      <c r="E18" s="23" t="s">
        <v>213</v>
      </c>
      <c r="F18" s="23" t="str">
        <f>'IP Input Sheet'!D63</f>
        <v/>
      </c>
      <c r="G18" s="23" t="s">
        <v>251</v>
      </c>
      <c r="H18" s="23" t="s">
        <v>252</v>
      </c>
      <c r="I18" s="23" t="s">
        <v>870</v>
      </c>
      <c r="J18" s="24" t="s">
        <v>254</v>
      </c>
      <c r="K18" s="25" t="s">
        <v>255</v>
      </c>
      <c r="L18" s="23" t="s">
        <v>256</v>
      </c>
      <c r="M18" s="2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6" t="s">
        <v>871</v>
      </c>
      <c r="B19" s="26" t="s">
        <v>872</v>
      </c>
      <c r="C19" s="26" t="s">
        <v>719</v>
      </c>
      <c r="D19" s="26" t="s">
        <v>873</v>
      </c>
      <c r="E19" s="26" t="s">
        <v>874</v>
      </c>
      <c r="F19" s="26" t="s">
        <v>875</v>
      </c>
      <c r="G19" s="26" t="s">
        <v>721</v>
      </c>
      <c r="H19" s="26" t="s">
        <v>721</v>
      </c>
      <c r="I19" s="26" t="s">
        <v>876</v>
      </c>
      <c r="J19" s="24" t="s">
        <v>254</v>
      </c>
      <c r="K19" s="25" t="s">
        <v>255</v>
      </c>
      <c r="L19" s="26" t="s">
        <v>261</v>
      </c>
      <c r="M19" s="26" t="s">
        <v>877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24.0"/>
    <col customWidth="1" min="4" max="4" width="26.0"/>
    <col customWidth="1" min="5" max="5" width="22.0"/>
    <col customWidth="1" min="6" max="6" width="16.0"/>
    <col customWidth="1" min="7" max="7" width="28.0"/>
    <col customWidth="1" min="8" max="8" width="12.0"/>
    <col customWidth="1" min="9" max="9" width="40.0"/>
  </cols>
  <sheetData>
    <row r="1" ht="27.75" customHeight="1">
      <c r="A1" s="22" t="s">
        <v>878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879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6" t="s">
        <v>2</v>
      </c>
      <c r="B3" s="6" t="s">
        <v>880</v>
      </c>
      <c r="C3" s="6" t="s">
        <v>881</v>
      </c>
      <c r="D3" s="6" t="s">
        <v>882</v>
      </c>
      <c r="E3" s="6" t="s">
        <v>883</v>
      </c>
      <c r="F3" s="6" t="s">
        <v>884</v>
      </c>
      <c r="G3" s="6" t="s">
        <v>238</v>
      </c>
      <c r="H3" s="6" t="s">
        <v>885</v>
      </c>
      <c r="I3" s="6" t="s">
        <v>248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3" t="s">
        <v>886</v>
      </c>
      <c r="B4" s="23" t="s">
        <v>887</v>
      </c>
      <c r="C4" s="23" t="str">
        <f>IFERROR(IF('IP Input Sheet'!D11&lt;&gt;"",'IP Input Sheet'!D11,IF('IP Input Sheet'!E11&lt;&gt;"",'IP Input Sheet'!E11,'IP Input Sheet'!F11)),"[Enter IP]")</f>
        <v>10.5.25.64/26</v>
      </c>
      <c r="D4" s="23" t="s">
        <v>888</v>
      </c>
      <c r="E4" s="23" t="s">
        <v>889</v>
      </c>
      <c r="F4" s="25" t="s">
        <v>890</v>
      </c>
      <c r="G4" s="23" t="s">
        <v>719</v>
      </c>
      <c r="H4" s="23" t="s">
        <v>891</v>
      </c>
      <c r="I4" s="23" t="s">
        <v>892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6" t="s">
        <v>893</v>
      </c>
      <c r="B5" s="26" t="s">
        <v>624</v>
      </c>
      <c r="C5" s="26" t="str">
        <f>IFERROR(IF('IP Input Sheet'!D5&lt;&gt;"",'IP Input Sheet'!D5,IF('IP Input Sheet'!E5&lt;&gt;"",'IP Input Sheet'!E5,'IP Input Sheet'!F5)),"[Enter IP]")</f>
        <v>10.5.25.86</v>
      </c>
      <c r="D5" s="26" t="s">
        <v>888</v>
      </c>
      <c r="E5" s="26" t="s">
        <v>889</v>
      </c>
      <c r="F5" s="25" t="s">
        <v>889</v>
      </c>
      <c r="G5" s="26" t="s">
        <v>10</v>
      </c>
      <c r="H5" s="26" t="s">
        <v>891</v>
      </c>
      <c r="I5" s="26" t="s">
        <v>894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23" t="s">
        <v>895</v>
      </c>
      <c r="B6" s="23" t="s">
        <v>14</v>
      </c>
      <c r="C6" s="23" t="str">
        <f>IFERROR(IF('IP Input Sheet'!D6&lt;&gt;"",'IP Input Sheet'!D6,IF('IP Input Sheet'!E6&lt;&gt;"",'IP Input Sheet'!E6,'IP Input Sheet'!F6)),"[Enter IP]")</f>
        <v>10.5.25.64/26</v>
      </c>
      <c r="D6" s="23" t="s">
        <v>888</v>
      </c>
      <c r="E6" s="23" t="s">
        <v>889</v>
      </c>
      <c r="F6" s="25" t="s">
        <v>889</v>
      </c>
      <c r="G6" s="23" t="s">
        <v>896</v>
      </c>
      <c r="H6" s="23" t="s">
        <v>891</v>
      </c>
      <c r="I6" s="23" t="s">
        <v>897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6" t="s">
        <v>898</v>
      </c>
      <c r="B7" s="26" t="s">
        <v>18</v>
      </c>
      <c r="C7" s="26" t="str">
        <f>IFERROR(IF('IP Input Sheet'!D7&lt;&gt;"",'IP Input Sheet'!D7,IF('IP Input Sheet'!E7&lt;&gt;"",'IP Input Sheet'!E7,'IP Input Sheet'!F7)),"[Enter IP]")</f>
        <v>10.5.25.64/26</v>
      </c>
      <c r="D7" s="26" t="s">
        <v>888</v>
      </c>
      <c r="E7" s="26" t="s">
        <v>889</v>
      </c>
      <c r="F7" s="25" t="s">
        <v>889</v>
      </c>
      <c r="G7" s="26" t="s">
        <v>286</v>
      </c>
      <c r="H7" s="26" t="s">
        <v>891</v>
      </c>
      <c r="I7" s="26" t="s">
        <v>897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3" t="s">
        <v>899</v>
      </c>
      <c r="B8" s="23" t="s">
        <v>900</v>
      </c>
      <c r="C8" s="23" t="str">
        <f>IFERROR(IF('IP Input Sheet'!D8&lt;&gt;"",'IP Input Sheet'!D8,IF('IP Input Sheet'!E8&lt;&gt;"",'IP Input Sheet'!E8,'IP Input Sheet'!F8)),"[Enter IP]")</f>
        <v>10.5.25.64/26</v>
      </c>
      <c r="D8" s="23" t="s">
        <v>888</v>
      </c>
      <c r="E8" s="23" t="s">
        <v>889</v>
      </c>
      <c r="F8" s="25" t="s">
        <v>889</v>
      </c>
      <c r="G8" s="23" t="s">
        <v>639</v>
      </c>
      <c r="H8" s="23" t="s">
        <v>891</v>
      </c>
      <c r="I8" s="23" t="s">
        <v>897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6" t="s">
        <v>901</v>
      </c>
      <c r="B9" s="26" t="s">
        <v>377</v>
      </c>
      <c r="C9" s="26" t="str">
        <f>IFERROR(IF('IP Input Sheet'!D9&lt;&gt;"",'IP Input Sheet'!D9,IF('IP Input Sheet'!E9&lt;&gt;"",'IP Input Sheet'!E9,'IP Input Sheet'!F9)),"[Enter IP]")</f>
        <v>10.5.25.64/26</v>
      </c>
      <c r="D9" s="26" t="s">
        <v>888</v>
      </c>
      <c r="E9" s="26" t="s">
        <v>889</v>
      </c>
      <c r="F9" s="25" t="s">
        <v>889</v>
      </c>
      <c r="G9" s="26" t="s">
        <v>648</v>
      </c>
      <c r="H9" s="26" t="s">
        <v>891</v>
      </c>
      <c r="I9" s="26" t="s">
        <v>897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3" t="s">
        <v>902</v>
      </c>
      <c r="B10" s="23" t="s">
        <v>27</v>
      </c>
      <c r="C10" s="23" t="str">
        <f>IFERROR(IF('IP Input Sheet'!D10&lt;&gt;"",'IP Input Sheet'!D10,IF('IP Input Sheet'!E10&lt;&gt;"",'IP Input Sheet'!E10,'IP Input Sheet'!F10)),"[Enter IP]")</f>
        <v>10.3.118.0/24</v>
      </c>
      <c r="D10" s="23" t="s">
        <v>888</v>
      </c>
      <c r="E10" s="23" t="s">
        <v>889</v>
      </c>
      <c r="F10" s="25" t="s">
        <v>889</v>
      </c>
      <c r="G10" s="23" t="s">
        <v>903</v>
      </c>
      <c r="H10" s="23" t="s">
        <v>891</v>
      </c>
      <c r="I10" s="23" t="s">
        <v>904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6" t="s">
        <v>905</v>
      </c>
      <c r="B11" s="26" t="s">
        <v>906</v>
      </c>
      <c r="C11" s="26" t="str">
        <f>IFERROR(IF('IP Input Sheet'!D13&lt;&gt;"",'IP Input Sheet'!D13,IF('IP Input Sheet'!E13&lt;&gt;"",'IP Input Sheet'!E13,'IP Input Sheet'!F13)),"[Enter IP]")</f>
        <v>10.3.118.18</v>
      </c>
      <c r="D11" s="26" t="s">
        <v>907</v>
      </c>
      <c r="E11" s="26" t="s">
        <v>908</v>
      </c>
      <c r="F11" s="37" t="s">
        <v>909</v>
      </c>
      <c r="G11" s="26" t="s">
        <v>910</v>
      </c>
      <c r="H11" s="26" t="s">
        <v>891</v>
      </c>
      <c r="I11" s="26" t="s">
        <v>911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3" t="s">
        <v>912</v>
      </c>
      <c r="B12" s="23" t="s">
        <v>36</v>
      </c>
      <c r="C12" s="23" t="str">
        <f>IFERROR(IF('IP Input Sheet'!D13&lt;&gt;"",'IP Input Sheet'!D13,IF('IP Input Sheet'!E13&lt;&gt;"",'IP Input Sheet'!E13,'IP Input Sheet'!F13)),"[Enter IP]")</f>
        <v>10.3.118.18</v>
      </c>
      <c r="D12" s="23" t="s">
        <v>907</v>
      </c>
      <c r="E12" s="23" t="s">
        <v>908</v>
      </c>
      <c r="F12" s="23" t="s">
        <v>913</v>
      </c>
      <c r="G12" s="23" t="s">
        <v>36</v>
      </c>
      <c r="H12" s="23" t="s">
        <v>891</v>
      </c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6" t="s">
        <v>914</v>
      </c>
      <c r="B13" s="26" t="s">
        <v>267</v>
      </c>
      <c r="C13" s="26" t="str">
        <f>IFERROR(IF('IP Input Sheet'!D14&lt;&gt;"",'IP Input Sheet'!D14,IF('IP Input Sheet'!E14&lt;&gt;"",'IP Input Sheet'!E14,'IP Input Sheet'!F14)),"[Enter IP]")</f>
        <v>10.3.118.0/24</v>
      </c>
      <c r="D13" s="26" t="s">
        <v>907</v>
      </c>
      <c r="E13" s="26" t="s">
        <v>908</v>
      </c>
      <c r="F13" s="26" t="s">
        <v>913</v>
      </c>
      <c r="G13" s="26" t="s">
        <v>267</v>
      </c>
      <c r="H13" s="26" t="s">
        <v>891</v>
      </c>
      <c r="I13" s="2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3" t="s">
        <v>915</v>
      </c>
      <c r="B14" s="23" t="s">
        <v>47</v>
      </c>
      <c r="C14" s="23" t="str">
        <f>IFERROR(IF('IP Input Sheet'!D16&lt;&gt;"",'IP Input Sheet'!D16,IF('IP Input Sheet'!E16&lt;&gt;"",'IP Input Sheet'!E16,'IP Input Sheet'!F16)),"[Enter IP]")</f>
        <v>10.3.118.30</v>
      </c>
      <c r="D14" s="23" t="s">
        <v>907</v>
      </c>
      <c r="E14" s="23" t="s">
        <v>908</v>
      </c>
      <c r="F14" s="23" t="s">
        <v>913</v>
      </c>
      <c r="G14" s="23" t="s">
        <v>47</v>
      </c>
      <c r="H14" s="23" t="s">
        <v>891</v>
      </c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6" t="s">
        <v>916</v>
      </c>
      <c r="B15" s="26" t="s">
        <v>917</v>
      </c>
      <c r="C15" s="26" t="str">
        <f>IFERROR(IF('IP Input Sheet'!D54&lt;&gt;"",'IP Input Sheet'!D54,IF('IP Input Sheet'!E54&lt;&gt;"",'IP Input Sheet'!E54,'IP Input Sheet'!F54)),"[Enter IP]")</f>
        <v>10.3.118.0/24</v>
      </c>
      <c r="D15" s="26" t="s">
        <v>907</v>
      </c>
      <c r="E15" s="26" t="s">
        <v>918</v>
      </c>
      <c r="F15" s="26" t="s">
        <v>913</v>
      </c>
      <c r="G15" s="26" t="s">
        <v>919</v>
      </c>
      <c r="H15" s="26" t="s">
        <v>891</v>
      </c>
      <c r="I15" s="26" t="s">
        <v>920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3" t="s">
        <v>921</v>
      </c>
      <c r="B16" s="23" t="s">
        <v>922</v>
      </c>
      <c r="C16" s="23" t="str">
        <f>IFERROR(IF('IP Input Sheet'!D18&lt;&gt;"",'IP Input Sheet'!D18,IF('IP Input Sheet'!E18&lt;&gt;"",'IP Input Sheet'!E18,'IP Input Sheet'!F18)),"[Enter IP]")</f>
        <v>10.3.118.0/24</v>
      </c>
      <c r="D16" s="23" t="s">
        <v>907</v>
      </c>
      <c r="E16" s="23" t="s">
        <v>923</v>
      </c>
      <c r="F16" s="23" t="s">
        <v>913</v>
      </c>
      <c r="G16" s="23" t="s">
        <v>924</v>
      </c>
      <c r="H16" s="23" t="s">
        <v>891</v>
      </c>
      <c r="I16" s="23" t="s">
        <v>925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6" t="s">
        <v>926</v>
      </c>
      <c r="B17" s="26" t="s">
        <v>190</v>
      </c>
      <c r="C17" s="26" t="str">
        <f>IFERROR(IF('IP Input Sheet'!D55&lt;&gt;"",'IP Input Sheet'!D55,IF('IP Input Sheet'!E55&lt;&gt;"",'IP Input Sheet'!E55,'IP Input Sheet'!F55)),"[Enter IP]")</f>
        <v/>
      </c>
      <c r="D17" s="26" t="s">
        <v>888</v>
      </c>
      <c r="E17" s="26" t="s">
        <v>927</v>
      </c>
      <c r="F17" s="38" t="s">
        <v>928</v>
      </c>
      <c r="G17" s="26" t="s">
        <v>929</v>
      </c>
      <c r="H17" s="26" t="s">
        <v>891</v>
      </c>
      <c r="I17" s="26" t="s">
        <v>930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3" t="s">
        <v>931</v>
      </c>
      <c r="B18" s="23" t="s">
        <v>203</v>
      </c>
      <c r="C18" s="23" t="str">
        <f>'IP Input Sheet'!D60</f>
        <v/>
      </c>
      <c r="D18" s="23" t="s">
        <v>932</v>
      </c>
      <c r="E18" s="23" t="s">
        <v>933</v>
      </c>
      <c r="F18" s="23" t="s">
        <v>913</v>
      </c>
      <c r="G18" s="23" t="s">
        <v>934</v>
      </c>
      <c r="H18" s="23" t="s">
        <v>935</v>
      </c>
      <c r="I18" s="23" t="s">
        <v>936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6" t="s">
        <v>937</v>
      </c>
      <c r="B19" s="26" t="s">
        <v>207</v>
      </c>
      <c r="C19" s="26" t="str">
        <f>'IP Input Sheet'!D61</f>
        <v/>
      </c>
      <c r="D19" s="26" t="s">
        <v>932</v>
      </c>
      <c r="E19" s="26" t="s">
        <v>933</v>
      </c>
      <c r="F19" s="26" t="s">
        <v>913</v>
      </c>
      <c r="G19" s="26" t="s">
        <v>934</v>
      </c>
      <c r="H19" s="26" t="s">
        <v>935</v>
      </c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3" t="s">
        <v>938</v>
      </c>
      <c r="B20" s="23" t="s">
        <v>322</v>
      </c>
      <c r="C20" s="23" t="str">
        <f>'IP Input Sheet'!D62</f>
        <v/>
      </c>
      <c r="D20" s="23" t="s">
        <v>932</v>
      </c>
      <c r="E20" s="23" t="s">
        <v>933</v>
      </c>
      <c r="F20" s="23" t="s">
        <v>913</v>
      </c>
      <c r="G20" s="23" t="s">
        <v>939</v>
      </c>
      <c r="H20" s="23" t="s">
        <v>935</v>
      </c>
      <c r="I20" s="2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6" t="s">
        <v>940</v>
      </c>
      <c r="B21" s="26" t="s">
        <v>213</v>
      </c>
      <c r="C21" s="26" t="str">
        <f>'IP Input Sheet'!D63</f>
        <v/>
      </c>
      <c r="D21" s="26" t="s">
        <v>932</v>
      </c>
      <c r="E21" s="26" t="s">
        <v>933</v>
      </c>
      <c r="F21" s="26" t="s">
        <v>913</v>
      </c>
      <c r="G21" s="26" t="s">
        <v>939</v>
      </c>
      <c r="H21" s="26" t="s">
        <v>935</v>
      </c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3" t="s">
        <v>941</v>
      </c>
      <c r="B22" s="23" t="s">
        <v>216</v>
      </c>
      <c r="C22" s="23" t="str">
        <f>'IP Input Sheet'!D64</f>
        <v/>
      </c>
      <c r="D22" s="23" t="s">
        <v>932</v>
      </c>
      <c r="E22" s="23" t="s">
        <v>933</v>
      </c>
      <c r="F22" s="23" t="s">
        <v>913</v>
      </c>
      <c r="G22" s="23" t="s">
        <v>942</v>
      </c>
      <c r="H22" s="23" t="s">
        <v>935</v>
      </c>
      <c r="I22" s="2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6" t="s">
        <v>943</v>
      </c>
      <c r="B23" s="26" t="s">
        <v>944</v>
      </c>
      <c r="C23" s="26" t="s">
        <v>945</v>
      </c>
      <c r="D23" s="26" t="s">
        <v>946</v>
      </c>
      <c r="E23" s="26" t="s">
        <v>947</v>
      </c>
      <c r="F23" s="37" t="s">
        <v>948</v>
      </c>
      <c r="G23" s="26" t="s">
        <v>949</v>
      </c>
      <c r="H23" s="26" t="s">
        <v>950</v>
      </c>
      <c r="I23" s="26" t="s">
        <v>951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3" t="s">
        <v>952</v>
      </c>
      <c r="B24" s="23" t="s">
        <v>953</v>
      </c>
      <c r="C24" s="23" t="s">
        <v>954</v>
      </c>
      <c r="D24" s="23" t="s">
        <v>946</v>
      </c>
      <c r="E24" s="23" t="s">
        <v>955</v>
      </c>
      <c r="F24" s="37" t="s">
        <v>948</v>
      </c>
      <c r="G24" s="23" t="s">
        <v>454</v>
      </c>
      <c r="H24" s="23" t="s">
        <v>950</v>
      </c>
      <c r="I24" s="23" t="s">
        <v>956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6" t="s">
        <v>957</v>
      </c>
      <c r="B25" s="26" t="s">
        <v>958</v>
      </c>
      <c r="C25" s="26" t="s">
        <v>959</v>
      </c>
      <c r="D25" s="26" t="s">
        <v>960</v>
      </c>
      <c r="E25" s="26" t="s">
        <v>961</v>
      </c>
      <c r="F25" s="37" t="s">
        <v>948</v>
      </c>
      <c r="G25" s="26" t="s">
        <v>962</v>
      </c>
      <c r="H25" s="26" t="s">
        <v>935</v>
      </c>
      <c r="I25" s="26" t="s">
        <v>963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3" t="s">
        <v>964</v>
      </c>
      <c r="B26" s="23" t="s">
        <v>960</v>
      </c>
      <c r="C26" s="23" t="s">
        <v>965</v>
      </c>
      <c r="D26" s="23" t="s">
        <v>966</v>
      </c>
      <c r="E26" s="23" t="s">
        <v>967</v>
      </c>
      <c r="F26" s="38" t="s">
        <v>968</v>
      </c>
      <c r="G26" s="23" t="s">
        <v>969</v>
      </c>
      <c r="H26" s="23" t="s">
        <v>935</v>
      </c>
      <c r="I26" s="23" t="s">
        <v>970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6" t="s">
        <v>921</v>
      </c>
      <c r="B27" s="26" t="s">
        <v>403</v>
      </c>
      <c r="C27" s="26" t="str">
        <f>IFERROR(IF('IP Input Sheet'!D19&lt;&gt;"",'IP Input Sheet'!D19,IF('IP Input Sheet'!E19&lt;&gt;"",'IP Input Sheet'!E19,'IP Input Sheet'!F19)),"[Enter IP]")</f>
        <v>10.3.118.101</v>
      </c>
      <c r="D27" s="26" t="s">
        <v>907</v>
      </c>
      <c r="E27" s="26" t="s">
        <v>908</v>
      </c>
      <c r="F27" s="26" t="s">
        <v>913</v>
      </c>
      <c r="G27" s="26" t="s">
        <v>971</v>
      </c>
      <c r="H27" s="26" t="s">
        <v>972</v>
      </c>
      <c r="I27" s="26" t="s">
        <v>973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3" t="s">
        <v>926</v>
      </c>
      <c r="B28" s="23" t="s">
        <v>974</v>
      </c>
      <c r="C28" s="23" t="str">
        <f>'IP Input Sheet'!D22</f>
        <v>10.3.111.101</v>
      </c>
      <c r="D28" s="23" t="s">
        <v>975</v>
      </c>
      <c r="E28" s="23" t="s">
        <v>976</v>
      </c>
      <c r="F28" s="38" t="s">
        <v>977</v>
      </c>
      <c r="G28" s="23" t="s">
        <v>978</v>
      </c>
      <c r="H28" s="23" t="s">
        <v>950</v>
      </c>
      <c r="I28" s="23" t="s">
        <v>979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6" t="s">
        <v>931</v>
      </c>
      <c r="B29" s="26" t="s">
        <v>980</v>
      </c>
      <c r="C29" s="26" t="str">
        <f>'IP Input Sheet'!D23</f>
        <v>10.3.111.121</v>
      </c>
      <c r="D29" s="26" t="s">
        <v>975</v>
      </c>
      <c r="E29" s="26" t="s">
        <v>981</v>
      </c>
      <c r="F29" s="38" t="s">
        <v>977</v>
      </c>
      <c r="G29" s="26" t="s">
        <v>982</v>
      </c>
      <c r="H29" s="26" t="s">
        <v>950</v>
      </c>
      <c r="I29" s="26" t="s">
        <v>979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3" t="s">
        <v>937</v>
      </c>
      <c r="B30" s="23" t="s">
        <v>983</v>
      </c>
      <c r="C30" s="23" t="str">
        <f>'IP Input Sheet'!D24</f>
        <v>10.3.111.102</v>
      </c>
      <c r="D30" s="23" t="s">
        <v>984</v>
      </c>
      <c r="E30" s="23" t="s">
        <v>985</v>
      </c>
      <c r="F30" s="38" t="s">
        <v>977</v>
      </c>
      <c r="G30" s="23" t="s">
        <v>978</v>
      </c>
      <c r="H30" s="23" t="s">
        <v>950</v>
      </c>
      <c r="I30" s="23" t="s">
        <v>986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6" t="s">
        <v>938</v>
      </c>
      <c r="B31" s="26" t="s">
        <v>987</v>
      </c>
      <c r="C31" s="26" t="str">
        <f>'IP Input Sheet'!D25</f>
        <v>10.3.111.122</v>
      </c>
      <c r="D31" s="26" t="s">
        <v>984</v>
      </c>
      <c r="E31" s="26" t="s">
        <v>988</v>
      </c>
      <c r="F31" s="38" t="s">
        <v>977</v>
      </c>
      <c r="G31" s="26" t="s">
        <v>982</v>
      </c>
      <c r="H31" s="26" t="s">
        <v>950</v>
      </c>
      <c r="I31" s="26" t="s">
        <v>986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3" t="s">
        <v>940</v>
      </c>
      <c r="B32" s="23" t="s">
        <v>989</v>
      </c>
      <c r="C32" s="23" t="str">
        <f>IFERROR(IF('IP Input Sheet'!D30&lt;&gt;"",'IP Input Sheet'!D30,IF('IP Input Sheet'!E30&lt;&gt;"",'IP Input Sheet'!E30,'IP Input Sheet'!F30)),"[Enter IP]")</f>
        <v>10.5.236.0/24</v>
      </c>
      <c r="D32" s="23" t="s">
        <v>946</v>
      </c>
      <c r="E32" s="23" t="s">
        <v>990</v>
      </c>
      <c r="F32" s="37" t="s">
        <v>948</v>
      </c>
      <c r="G32" s="23" t="s">
        <v>454</v>
      </c>
      <c r="H32" s="23" t="s">
        <v>950</v>
      </c>
      <c r="I32" s="23" t="s">
        <v>991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6" t="s">
        <v>941</v>
      </c>
      <c r="B33" s="26" t="s">
        <v>992</v>
      </c>
      <c r="C33" s="26" t="str">
        <f>IFERROR(IF('IP Input Sheet'!D31&lt;&gt;"",'IP Input Sheet'!D31,IF('IP Input Sheet'!E31&lt;&gt;"",'IP Input Sheet'!E31,'IP Input Sheet'!F31)),"[Enter IP]")</f>
        <v>10.5.22.0/24</v>
      </c>
      <c r="D33" s="26" t="s">
        <v>960</v>
      </c>
      <c r="E33" s="26" t="s">
        <v>993</v>
      </c>
      <c r="F33" s="37" t="s">
        <v>948</v>
      </c>
      <c r="G33" s="26" t="s">
        <v>994</v>
      </c>
      <c r="H33" s="26" t="s">
        <v>935</v>
      </c>
      <c r="I33" s="26" t="s">
        <v>995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3" t="s">
        <v>943</v>
      </c>
      <c r="B34" s="23" t="s">
        <v>996</v>
      </c>
      <c r="C34" s="23" t="str">
        <f>IFERROR(IF('IP Input Sheet'!D32&lt;&gt;"",'IP Input Sheet'!D32,IF('IP Input Sheet'!E32&lt;&gt;"",'IP Input Sheet'!E32,'IP Input Sheet'!F32)),"[Enter IP]")</f>
        <v>10.3.111.97</v>
      </c>
      <c r="D34" s="23" t="s">
        <v>997</v>
      </c>
      <c r="E34" s="23" t="s">
        <v>998</v>
      </c>
      <c r="F34" s="38" t="s">
        <v>968</v>
      </c>
      <c r="G34" s="23" t="s">
        <v>999</v>
      </c>
      <c r="H34" s="23" t="s">
        <v>950</v>
      </c>
      <c r="I34" s="23" t="s">
        <v>1000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9" t="s">
        <v>1001</v>
      </c>
      <c r="B35" s="29" t="s">
        <v>1002</v>
      </c>
      <c r="C35" s="29" t="str">
        <f>IFERROR(IF('IP Input Sheet'!D21&lt;&gt;"",'IP Input Sheet'!D21,IF('IP Input Sheet'!E21&lt;&gt;"",'IP Input Sheet'!E21,'IP Input Sheet'!F21)),"[Enter IP]")</f>
        <v/>
      </c>
      <c r="D35" s="29" t="s">
        <v>1003</v>
      </c>
      <c r="E35" s="29" t="s">
        <v>1004</v>
      </c>
      <c r="F35" s="39" t="s">
        <v>977</v>
      </c>
      <c r="G35" s="29" t="s">
        <v>1005</v>
      </c>
      <c r="H35" s="29" t="s">
        <v>950</v>
      </c>
      <c r="I35" s="29" t="s">
        <v>1006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7" t="s">
        <v>1007</v>
      </c>
      <c r="B36" s="27" t="s">
        <v>1008</v>
      </c>
      <c r="C36" s="27" t="str">
        <f>IFERROR(IF('IP Input Sheet'!D22&lt;&gt;"",'IP Input Sheet'!D22,IF('IP Input Sheet'!E22&lt;&gt;"",'IP Input Sheet'!E22,'IP Input Sheet'!F22)),"[Enter IP]")</f>
        <v>10.3.111.101</v>
      </c>
      <c r="D36" s="27" t="s">
        <v>1009</v>
      </c>
      <c r="E36" s="27" t="s">
        <v>1010</v>
      </c>
      <c r="F36" s="39" t="s">
        <v>977</v>
      </c>
      <c r="G36" s="27" t="s">
        <v>1005</v>
      </c>
      <c r="H36" s="27" t="s">
        <v>950</v>
      </c>
      <c r="I36" s="27" t="s">
        <v>1011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9" t="s">
        <v>1012</v>
      </c>
      <c r="B37" s="29" t="s">
        <v>1013</v>
      </c>
      <c r="C37" s="29" t="str">
        <f>IFERROR(IF('IP Input Sheet'!D23&lt;&gt;"",'IP Input Sheet'!D23,IF('IP Input Sheet'!E23&lt;&gt;"",'IP Input Sheet'!E23,'IP Input Sheet'!F23)),"[Enter IP]")</f>
        <v>10.3.111.121</v>
      </c>
      <c r="D37" s="29" t="s">
        <v>1003</v>
      </c>
      <c r="E37" s="29" t="s">
        <v>1004</v>
      </c>
      <c r="F37" s="39" t="s">
        <v>977</v>
      </c>
      <c r="G37" s="29" t="s">
        <v>1014</v>
      </c>
      <c r="H37" s="29" t="s">
        <v>950</v>
      </c>
      <c r="I37" s="29" t="s">
        <v>1015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27" t="s">
        <v>1016</v>
      </c>
      <c r="B38" s="27" t="s">
        <v>1017</v>
      </c>
      <c r="C38" s="27" t="str">
        <f>IFERROR(IF('IP Input Sheet'!D24&lt;&gt;"",'IP Input Sheet'!D24,IF('IP Input Sheet'!E24&lt;&gt;"",'IP Input Sheet'!E24,'IP Input Sheet'!F24)),"[Enter IP]")</f>
        <v>10.3.111.102</v>
      </c>
      <c r="D38" s="27" t="s">
        <v>1009</v>
      </c>
      <c r="E38" s="27" t="s">
        <v>1010</v>
      </c>
      <c r="F38" s="39" t="s">
        <v>977</v>
      </c>
      <c r="G38" s="27" t="s">
        <v>1014</v>
      </c>
      <c r="H38" s="27" t="s">
        <v>950</v>
      </c>
      <c r="I38" s="27" t="s">
        <v>1018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29" t="s">
        <v>1019</v>
      </c>
      <c r="B39" s="29" t="s">
        <v>1020</v>
      </c>
      <c r="C39" s="29" t="str">
        <f>IFERROR(IF('IP Input Sheet'!D25&lt;&gt;"",'IP Input Sheet'!D25,IF('IP Input Sheet'!E25&lt;&gt;"",'IP Input Sheet'!E25,'IP Input Sheet'!F25)),"[Enter IP]")</f>
        <v>10.3.111.122</v>
      </c>
      <c r="D39" s="29" t="s">
        <v>1021</v>
      </c>
      <c r="E39" s="29" t="s">
        <v>1022</v>
      </c>
      <c r="F39" s="39" t="s">
        <v>977</v>
      </c>
      <c r="G39" s="29" t="s">
        <v>1023</v>
      </c>
      <c r="H39" s="29" t="s">
        <v>950</v>
      </c>
      <c r="I39" s="29" t="s">
        <v>1024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7" t="s">
        <v>1025</v>
      </c>
      <c r="B40" s="27" t="s">
        <v>1026</v>
      </c>
      <c r="C40" s="27" t="str">
        <f>IFERROR(IF('IP Input Sheet'!D26&lt;&gt;"",'IP Input Sheet'!D26,IF('IP Input Sheet'!E26&lt;&gt;"",'IP Input Sheet'!E26,'IP Input Sheet'!F26)),"[Enter IP]")</f>
        <v>10.3.111.133</v>
      </c>
      <c r="D40" s="27" t="s">
        <v>1027</v>
      </c>
      <c r="E40" s="27" t="s">
        <v>1028</v>
      </c>
      <c r="F40" s="39" t="s">
        <v>977</v>
      </c>
      <c r="G40" s="27" t="s">
        <v>1023</v>
      </c>
      <c r="H40" s="27" t="s">
        <v>950</v>
      </c>
      <c r="I40" s="27" t="s">
        <v>1029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9" t="s">
        <v>1030</v>
      </c>
      <c r="B41" s="29" t="s">
        <v>1031</v>
      </c>
      <c r="C41" s="29" t="str">
        <f>IFERROR(IF('IP Input Sheet'!D27&lt;&gt;"",'IP Input Sheet'!D27,IF('IP Input Sheet'!E27&lt;&gt;"",'IP Input Sheet'!E27,'IP Input Sheet'!F27)),"[Enter IP]")</f>
        <v>10.3.111.153</v>
      </c>
      <c r="D41" s="29" t="s">
        <v>1021</v>
      </c>
      <c r="E41" s="29" t="s">
        <v>1022</v>
      </c>
      <c r="F41" s="39" t="s">
        <v>977</v>
      </c>
      <c r="G41" s="29" t="s">
        <v>1032</v>
      </c>
      <c r="H41" s="29" t="s">
        <v>950</v>
      </c>
      <c r="I41" s="29" t="s">
        <v>1033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27" t="s">
        <v>1034</v>
      </c>
      <c r="B42" s="27" t="s">
        <v>1035</v>
      </c>
      <c r="C42" s="27" t="str">
        <f>IFERROR(IF('IP Input Sheet'!D28&lt;&gt;"",'IP Input Sheet'!D28,IF('IP Input Sheet'!E28&lt;&gt;"",'IP Input Sheet'!E28,'IP Input Sheet'!F28)),"[Enter IP]")</f>
        <v>10.3.111.134</v>
      </c>
      <c r="D42" s="27" t="s">
        <v>1027</v>
      </c>
      <c r="E42" s="27" t="s">
        <v>1028</v>
      </c>
      <c r="F42" s="39" t="s">
        <v>977</v>
      </c>
      <c r="G42" s="27" t="s">
        <v>1032</v>
      </c>
      <c r="H42" s="27" t="s">
        <v>950</v>
      </c>
      <c r="I42" s="27" t="s">
        <v>1036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9" t="s">
        <v>1037</v>
      </c>
      <c r="B43" s="29" t="s">
        <v>989</v>
      </c>
      <c r="C43" s="29" t="str">
        <f>IFERROR(IF('IP Input Sheet'!D29&lt;&gt;"",'IP Input Sheet'!D29,IF('IP Input Sheet'!E29&lt;&gt;"",'IP Input Sheet'!E29,'IP Input Sheet'!F29)),"[Enter IP]")</f>
        <v>10.3.111.154</v>
      </c>
      <c r="D43" s="29" t="s">
        <v>946</v>
      </c>
      <c r="E43" s="29" t="s">
        <v>990</v>
      </c>
      <c r="F43" s="30" t="s">
        <v>948</v>
      </c>
      <c r="G43" s="29" t="s">
        <v>454</v>
      </c>
      <c r="H43" s="29" t="s">
        <v>950</v>
      </c>
      <c r="I43" s="29" t="s">
        <v>1038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7" t="s">
        <v>1039</v>
      </c>
      <c r="B44" s="27" t="s">
        <v>1040</v>
      </c>
      <c r="C44" s="27" t="str">
        <f>IFERROR(IF('IP Input Sheet'!D30&lt;&gt;"",'IP Input Sheet'!D30,IF('IP Input Sheet'!E30&lt;&gt;"",'IP Input Sheet'!E30,'IP Input Sheet'!F30)),"[Enter IP]")</f>
        <v>10.5.236.0/24</v>
      </c>
      <c r="D44" s="27" t="s">
        <v>960</v>
      </c>
      <c r="E44" s="27" t="s">
        <v>993</v>
      </c>
      <c r="F44" s="30" t="s">
        <v>948</v>
      </c>
      <c r="G44" s="27" t="s">
        <v>1041</v>
      </c>
      <c r="H44" s="27" t="s">
        <v>935</v>
      </c>
      <c r="I44" s="27" t="s">
        <v>1042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6.0"/>
    <col customWidth="1" min="4" max="5" width="36.0"/>
    <col customWidth="1" min="6" max="6" width="44.0"/>
  </cols>
  <sheetData>
    <row r="1" ht="27.75" customHeight="1">
      <c r="A1" s="22" t="s">
        <v>1043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6" t="s">
        <v>242</v>
      </c>
      <c r="B2" s="6" t="s">
        <v>243</v>
      </c>
      <c r="C2" s="6" t="s">
        <v>1044</v>
      </c>
      <c r="D2" s="6" t="s">
        <v>1045</v>
      </c>
      <c r="E2" s="6" t="s">
        <v>1046</v>
      </c>
      <c r="F2" s="6" t="s">
        <v>248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40" t="s">
        <v>287</v>
      </c>
      <c r="B3" s="26" t="s">
        <v>252</v>
      </c>
      <c r="C3" s="26" t="s">
        <v>362</v>
      </c>
      <c r="D3" s="26" t="s">
        <v>1047</v>
      </c>
      <c r="E3" s="26" t="s">
        <v>1048</v>
      </c>
      <c r="F3" s="26" t="s">
        <v>1049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1" t="s">
        <v>1050</v>
      </c>
      <c r="B4" s="23" t="s">
        <v>1051</v>
      </c>
      <c r="C4" s="23" t="s">
        <v>1052</v>
      </c>
      <c r="D4" s="23" t="s">
        <v>903</v>
      </c>
      <c r="E4" s="23" t="s">
        <v>1053</v>
      </c>
      <c r="F4" s="23" t="s">
        <v>1054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0" t="s">
        <v>271</v>
      </c>
      <c r="B5" s="26" t="s">
        <v>272</v>
      </c>
      <c r="C5" s="26" t="s">
        <v>832</v>
      </c>
      <c r="D5" s="26" t="s">
        <v>1055</v>
      </c>
      <c r="E5" s="26" t="s">
        <v>1056</v>
      </c>
      <c r="F5" s="26" t="s">
        <v>1057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1" t="s">
        <v>277</v>
      </c>
      <c r="B6" s="23" t="s">
        <v>278</v>
      </c>
      <c r="C6" s="23" t="s">
        <v>1058</v>
      </c>
      <c r="D6" s="23" t="s">
        <v>1055</v>
      </c>
      <c r="E6" s="23" t="s">
        <v>1059</v>
      </c>
      <c r="F6" s="23" t="s">
        <v>1060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0" t="s">
        <v>398</v>
      </c>
      <c r="B7" s="26" t="s">
        <v>252</v>
      </c>
      <c r="C7" s="26" t="s">
        <v>1061</v>
      </c>
      <c r="D7" s="26" t="s">
        <v>377</v>
      </c>
      <c r="E7" s="26" t="s">
        <v>1062</v>
      </c>
      <c r="F7" s="26" t="s">
        <v>1063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1" t="s">
        <v>323</v>
      </c>
      <c r="B8" s="23" t="s">
        <v>272</v>
      </c>
      <c r="C8" s="23" t="s">
        <v>1064</v>
      </c>
      <c r="D8" s="23" t="s">
        <v>1065</v>
      </c>
      <c r="E8" s="23" t="s">
        <v>1066</v>
      </c>
      <c r="F8" s="23" t="s">
        <v>1067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0" t="s">
        <v>251</v>
      </c>
      <c r="B9" s="26" t="s">
        <v>252</v>
      </c>
      <c r="C9" s="26" t="s">
        <v>1068</v>
      </c>
      <c r="D9" s="26" t="s">
        <v>1069</v>
      </c>
      <c r="E9" s="26" t="s">
        <v>1069</v>
      </c>
      <c r="F9" s="26" t="s">
        <v>1070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1" t="s">
        <v>640</v>
      </c>
      <c r="B10" s="23" t="s">
        <v>272</v>
      </c>
      <c r="C10" s="23" t="s">
        <v>1071</v>
      </c>
      <c r="D10" s="23" t="s">
        <v>1072</v>
      </c>
      <c r="E10" s="23" t="s">
        <v>900</v>
      </c>
      <c r="F10" s="23" t="s">
        <v>1073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0" t="s">
        <v>327</v>
      </c>
      <c r="B11" s="26" t="s">
        <v>252</v>
      </c>
      <c r="C11" s="26" t="s">
        <v>1074</v>
      </c>
      <c r="D11" s="26" t="s">
        <v>1065</v>
      </c>
      <c r="E11" s="26" t="s">
        <v>1066</v>
      </c>
      <c r="F11" s="26" t="s">
        <v>840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1" t="s">
        <v>355</v>
      </c>
      <c r="B12" s="23" t="s">
        <v>252</v>
      </c>
      <c r="C12" s="23" t="s">
        <v>594</v>
      </c>
      <c r="D12" s="23" t="s">
        <v>1075</v>
      </c>
      <c r="E12" s="23" t="s">
        <v>1076</v>
      </c>
      <c r="F12" s="23" t="s">
        <v>1077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0" t="s">
        <v>644</v>
      </c>
      <c r="B13" s="26" t="s">
        <v>252</v>
      </c>
      <c r="C13" s="26" t="s">
        <v>645</v>
      </c>
      <c r="D13" s="26" t="s">
        <v>1078</v>
      </c>
      <c r="E13" s="26" t="s">
        <v>900</v>
      </c>
      <c r="F13" s="26" t="s">
        <v>715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1" t="s">
        <v>378</v>
      </c>
      <c r="B14" s="23" t="s">
        <v>272</v>
      </c>
      <c r="C14" s="23" t="s">
        <v>1079</v>
      </c>
      <c r="D14" s="23" t="s">
        <v>1080</v>
      </c>
      <c r="E14" s="23" t="s">
        <v>1081</v>
      </c>
      <c r="F14" s="23" t="s">
        <v>1082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0" t="s">
        <v>331</v>
      </c>
      <c r="B15" s="26" t="s">
        <v>252</v>
      </c>
      <c r="C15" s="26" t="s">
        <v>843</v>
      </c>
      <c r="D15" s="26" t="s">
        <v>896</v>
      </c>
      <c r="E15" s="26" t="s">
        <v>1066</v>
      </c>
      <c r="F15" s="26" t="s">
        <v>1083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1" t="s">
        <v>383</v>
      </c>
      <c r="B16" s="23" t="s">
        <v>272</v>
      </c>
      <c r="C16" s="23" t="s">
        <v>1084</v>
      </c>
      <c r="D16" s="23" t="s">
        <v>1085</v>
      </c>
      <c r="E16" s="23" t="s">
        <v>1086</v>
      </c>
      <c r="F16" s="23" t="s">
        <v>1087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0" t="s">
        <v>293</v>
      </c>
      <c r="B17" s="26" t="s">
        <v>252</v>
      </c>
      <c r="C17" s="26" t="s">
        <v>1088</v>
      </c>
      <c r="D17" s="26" t="s">
        <v>1089</v>
      </c>
      <c r="E17" s="26" t="s">
        <v>1090</v>
      </c>
      <c r="F17" s="26" t="s">
        <v>1091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1" t="s">
        <v>659</v>
      </c>
      <c r="B18" s="23" t="s">
        <v>252</v>
      </c>
      <c r="C18" s="23" t="s">
        <v>1092</v>
      </c>
      <c r="D18" s="23" t="s">
        <v>1093</v>
      </c>
      <c r="E18" s="23" t="s">
        <v>1094</v>
      </c>
      <c r="F18" s="23" t="s">
        <v>1095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0" t="s">
        <v>312</v>
      </c>
      <c r="B19" s="26" t="s">
        <v>252</v>
      </c>
      <c r="C19" s="26" t="s">
        <v>1096</v>
      </c>
      <c r="D19" s="26" t="s">
        <v>624</v>
      </c>
      <c r="E19" s="26" t="s">
        <v>286</v>
      </c>
      <c r="F19" s="26" t="s">
        <v>1097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1" t="s">
        <v>632</v>
      </c>
      <c r="B20" s="23" t="s">
        <v>252</v>
      </c>
      <c r="C20" s="23" t="s">
        <v>633</v>
      </c>
      <c r="D20" s="23" t="s">
        <v>1098</v>
      </c>
      <c r="E20" s="23" t="s">
        <v>1099</v>
      </c>
      <c r="F20" s="23" t="s">
        <v>1100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0" t="s">
        <v>683</v>
      </c>
      <c r="B21" s="26" t="s">
        <v>252</v>
      </c>
      <c r="C21" s="26" t="s">
        <v>1101</v>
      </c>
      <c r="D21" s="26" t="s">
        <v>1102</v>
      </c>
      <c r="E21" s="26" t="s">
        <v>1094</v>
      </c>
      <c r="F21" s="26" t="s">
        <v>1103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1" t="s">
        <v>1104</v>
      </c>
      <c r="B22" s="23" t="s">
        <v>252</v>
      </c>
      <c r="C22" s="23" t="s">
        <v>1105</v>
      </c>
      <c r="D22" s="23" t="s">
        <v>1106</v>
      </c>
      <c r="E22" s="23" t="s">
        <v>47</v>
      </c>
      <c r="F22" s="23" t="s">
        <v>1107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0" t="s">
        <v>690</v>
      </c>
      <c r="B23" s="26" t="s">
        <v>252</v>
      </c>
      <c r="C23" s="26" t="s">
        <v>1108</v>
      </c>
      <c r="D23" s="26" t="s">
        <v>1102</v>
      </c>
      <c r="E23" s="26" t="s">
        <v>1094</v>
      </c>
      <c r="F23" s="26" t="s">
        <v>1109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1" t="s">
        <v>339</v>
      </c>
      <c r="B24" s="23" t="s">
        <v>252</v>
      </c>
      <c r="C24" s="23" t="s">
        <v>1110</v>
      </c>
      <c r="D24" s="23" t="s">
        <v>896</v>
      </c>
      <c r="E24" s="23" t="s">
        <v>36</v>
      </c>
      <c r="F24" s="23" t="s">
        <v>1111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0" t="s">
        <v>309</v>
      </c>
      <c r="B25" s="26" t="s">
        <v>252</v>
      </c>
      <c r="C25" s="26" t="s">
        <v>1112</v>
      </c>
      <c r="D25" s="26" t="s">
        <v>1113</v>
      </c>
      <c r="E25" s="26" t="s">
        <v>1114</v>
      </c>
      <c r="F25" s="26" t="s">
        <v>1115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1" t="s">
        <v>305</v>
      </c>
      <c r="B26" s="23" t="s">
        <v>252</v>
      </c>
      <c r="C26" s="23" t="s">
        <v>1112</v>
      </c>
      <c r="D26" s="23" t="s">
        <v>1113</v>
      </c>
      <c r="E26" s="23" t="s">
        <v>1114</v>
      </c>
      <c r="F26" s="23" t="s">
        <v>1115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0" t="s">
        <v>301</v>
      </c>
      <c r="B27" s="26" t="s">
        <v>252</v>
      </c>
      <c r="C27" s="26" t="s">
        <v>1116</v>
      </c>
      <c r="D27" s="26" t="s">
        <v>1113</v>
      </c>
      <c r="E27" s="26" t="s">
        <v>1114</v>
      </c>
      <c r="F27" s="26" t="s">
        <v>1117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1" t="s">
        <v>297</v>
      </c>
      <c r="B28" s="23" t="s">
        <v>252</v>
      </c>
      <c r="C28" s="23" t="s">
        <v>1118</v>
      </c>
      <c r="D28" s="23" t="s">
        <v>1113</v>
      </c>
      <c r="E28" s="23" t="s">
        <v>1114</v>
      </c>
      <c r="F28" s="23" t="s">
        <v>1119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0" t="s">
        <v>721</v>
      </c>
      <c r="B29" s="26" t="s">
        <v>721</v>
      </c>
      <c r="C29" s="26" t="s">
        <v>1120</v>
      </c>
      <c r="D29" s="26" t="s">
        <v>1121</v>
      </c>
      <c r="E29" s="26" t="s">
        <v>1121</v>
      </c>
      <c r="F29" s="26" t="s">
        <v>1122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1" t="s">
        <v>418</v>
      </c>
      <c r="B30" s="23" t="s">
        <v>252</v>
      </c>
      <c r="C30" s="23" t="s">
        <v>968</v>
      </c>
      <c r="D30" s="23" t="s">
        <v>1123</v>
      </c>
      <c r="E30" s="23" t="s">
        <v>1124</v>
      </c>
      <c r="F30" s="23" t="s">
        <v>1125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40" t="s">
        <v>1126</v>
      </c>
      <c r="B31" s="26" t="s">
        <v>278</v>
      </c>
      <c r="C31" s="26" t="s">
        <v>1127</v>
      </c>
      <c r="D31" s="26" t="s">
        <v>1123</v>
      </c>
      <c r="E31" s="26" t="s">
        <v>1128</v>
      </c>
      <c r="F31" s="26" t="s">
        <v>1129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1" t="s">
        <v>1130</v>
      </c>
      <c r="B32" s="23" t="s">
        <v>278</v>
      </c>
      <c r="C32" s="23" t="s">
        <v>1131</v>
      </c>
      <c r="D32" s="23" t="s">
        <v>454</v>
      </c>
      <c r="E32" s="23" t="s">
        <v>949</v>
      </c>
      <c r="F32" s="23" t="s">
        <v>1132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0" t="s">
        <v>418</v>
      </c>
      <c r="B33" s="29" t="s">
        <v>252</v>
      </c>
      <c r="C33" s="29" t="s">
        <v>968</v>
      </c>
      <c r="D33" s="29" t="s">
        <v>1133</v>
      </c>
      <c r="E33" s="29" t="s">
        <v>1134</v>
      </c>
      <c r="F33" s="29" t="s">
        <v>1135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1" t="s">
        <v>456</v>
      </c>
      <c r="B34" s="27" t="s">
        <v>278</v>
      </c>
      <c r="C34" s="27" t="s">
        <v>1136</v>
      </c>
      <c r="D34" s="27" t="s">
        <v>1137</v>
      </c>
      <c r="E34" s="27" t="s">
        <v>1138</v>
      </c>
      <c r="F34" s="27" t="s">
        <v>1139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0" t="s">
        <v>1126</v>
      </c>
      <c r="B35" s="29" t="s">
        <v>278</v>
      </c>
      <c r="C35" s="29" t="s">
        <v>1127</v>
      </c>
      <c r="D35" s="29" t="s">
        <v>1140</v>
      </c>
      <c r="E35" s="29" t="s">
        <v>1141</v>
      </c>
      <c r="F35" s="29" t="s">
        <v>1129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33" t="s">
        <v>518</v>
      </c>
      <c r="B36" s="42" t="s">
        <v>252</v>
      </c>
      <c r="C36" s="42" t="s">
        <v>1142</v>
      </c>
      <c r="D36" s="42" t="s">
        <v>512</v>
      </c>
      <c r="E36" s="42" t="s">
        <v>513</v>
      </c>
      <c r="F36" s="42" t="s">
        <v>1143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3" t="s">
        <v>1144</v>
      </c>
      <c r="B37" s="26" t="s">
        <v>252</v>
      </c>
      <c r="C37" s="26" t="s">
        <v>1145</v>
      </c>
      <c r="D37" s="26" t="s">
        <v>512</v>
      </c>
      <c r="E37" s="26" t="s">
        <v>513</v>
      </c>
      <c r="F37" s="26" t="s">
        <v>1146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4" t="s">
        <v>1147</v>
      </c>
      <c r="B38" s="23" t="s">
        <v>252</v>
      </c>
      <c r="C38" s="23" t="s">
        <v>1148</v>
      </c>
      <c r="D38" s="23" t="s">
        <v>1149</v>
      </c>
      <c r="E38" s="23" t="s">
        <v>1150</v>
      </c>
      <c r="F38" s="23" t="s">
        <v>1151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35" t="s">
        <v>506</v>
      </c>
      <c r="B39" s="35" t="s">
        <v>278</v>
      </c>
      <c r="C39" s="38" t="s">
        <v>1152</v>
      </c>
      <c r="D39" s="38" t="s">
        <v>1153</v>
      </c>
      <c r="E39" s="38" t="s">
        <v>1154</v>
      </c>
      <c r="F39" s="38" t="s">
        <v>1155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35" t="s">
        <v>546</v>
      </c>
      <c r="B40" s="35" t="s">
        <v>252</v>
      </c>
      <c r="C40" s="38" t="s">
        <v>1156</v>
      </c>
      <c r="D40" s="38" t="s">
        <v>1157</v>
      </c>
      <c r="E40" s="38" t="s">
        <v>1158</v>
      </c>
      <c r="F40" s="38" t="s">
        <v>1159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35" t="s">
        <v>568</v>
      </c>
      <c r="B41" s="35" t="s">
        <v>252</v>
      </c>
      <c r="C41" s="38" t="s">
        <v>1160</v>
      </c>
      <c r="D41" s="38" t="s">
        <v>1161</v>
      </c>
      <c r="E41" s="38" t="s">
        <v>1162</v>
      </c>
      <c r="F41" s="38" t="s">
        <v>1163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35" t="s">
        <v>518</v>
      </c>
      <c r="B42" s="35" t="s">
        <v>252</v>
      </c>
      <c r="C42" s="38" t="s">
        <v>1164</v>
      </c>
      <c r="D42" s="38" t="s">
        <v>512</v>
      </c>
      <c r="E42" s="38" t="s">
        <v>1165</v>
      </c>
      <c r="F42" s="38" t="s">
        <v>1166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0" t="s">
        <v>1147</v>
      </c>
      <c r="B43" s="45" t="s">
        <v>252</v>
      </c>
      <c r="C43" s="26" t="s">
        <v>1167</v>
      </c>
      <c r="D43" s="26" t="s">
        <v>1168</v>
      </c>
      <c r="E43" s="26" t="s">
        <v>1169</v>
      </c>
      <c r="F43" s="26" t="s">
        <v>1170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0" t="s">
        <v>599</v>
      </c>
      <c r="B44" s="45" t="s">
        <v>252</v>
      </c>
      <c r="C44" s="26" t="s">
        <v>600</v>
      </c>
      <c r="D44" s="26" t="s">
        <v>582</v>
      </c>
      <c r="E44" s="26" t="s">
        <v>593</v>
      </c>
      <c r="F44" s="26" t="s">
        <v>1171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0" t="s">
        <v>604</v>
      </c>
      <c r="B45" s="45" t="s">
        <v>252</v>
      </c>
      <c r="C45" s="26" t="s">
        <v>1172</v>
      </c>
      <c r="D45" s="26" t="s">
        <v>582</v>
      </c>
      <c r="E45" s="26" t="s">
        <v>593</v>
      </c>
      <c r="F45" s="26" t="s">
        <v>1173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0" t="s">
        <v>609</v>
      </c>
      <c r="B46" s="45" t="s">
        <v>252</v>
      </c>
      <c r="C46" s="26" t="s">
        <v>1174</v>
      </c>
      <c r="D46" s="26" t="s">
        <v>582</v>
      </c>
      <c r="E46" s="26" t="s">
        <v>593</v>
      </c>
      <c r="F46" s="26" t="s">
        <v>1175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13"/>
      <c r="C47" s="13"/>
      <c r="D47" s="13"/>
      <c r="E47" s="13"/>
      <c r="F47" s="1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13"/>
      <c r="C48" s="13"/>
      <c r="D48" s="13"/>
      <c r="E48" s="13"/>
      <c r="F48" s="1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13"/>
      <c r="C49" s="13"/>
      <c r="D49" s="13"/>
      <c r="E49" s="13"/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/>
      <c r="B50" s="13"/>
      <c r="C50" s="13"/>
      <c r="D50" s="13"/>
      <c r="E50" s="13"/>
      <c r="F50" s="1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/>
      <c r="B51" s="13"/>
      <c r="C51" s="13"/>
      <c r="D51" s="13"/>
      <c r="E51" s="13"/>
      <c r="F51" s="1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13"/>
      <c r="C52" s="13"/>
      <c r="D52" s="13"/>
      <c r="E52" s="13"/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13"/>
      <c r="C53" s="13"/>
      <c r="D53" s="13"/>
      <c r="E53" s="13"/>
      <c r="F53" s="1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13"/>
      <c r="C55" s="13"/>
      <c r="D55" s="13"/>
      <c r="E55" s="13"/>
      <c r="F55" s="1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13"/>
      <c r="C56" s="13"/>
      <c r="D56" s="13"/>
      <c r="E56" s="13"/>
      <c r="F56" s="1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13"/>
      <c r="C57" s="13"/>
      <c r="D57" s="13"/>
      <c r="E57" s="13"/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13"/>
      <c r="C58" s="13"/>
      <c r="D58" s="13"/>
      <c r="E58" s="13"/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/>
      <c r="B59" s="13"/>
      <c r="C59" s="13"/>
      <c r="D59" s="13"/>
      <c r="E59" s="13"/>
      <c r="F59" s="1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