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P Input Sheet" sheetId="1" state="visible" r:id="rId1"/>
    <sheet xmlns:r="http://schemas.openxmlformats.org/officeDocument/2006/relationships" name="➡️ Fleet → Mgmt+WLD" sheetId="2" state="visible" r:id="rId2"/>
    <sheet xmlns:r="http://schemas.openxmlformats.org/officeDocument/2006/relationships" name="⬅️ Mgmt+WLD → Fleet" sheetId="3" state="visible" r:id="rId3"/>
    <sheet xmlns:r="http://schemas.openxmlformats.org/officeDocument/2006/relationships" name="🌐 Fleet → External" sheetId="4" state="visible" r:id="rId4"/>
    <sheet xmlns:r="http://schemas.openxmlformats.org/officeDocument/2006/relationships" name="🗺️ Route Table" sheetId="5" state="visible" r:id="rId5"/>
    <sheet xmlns:r="http://schemas.openxmlformats.org/officeDocument/2006/relationships" name="📊 Por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F0000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7F6000"/>
      <sz val="9"/>
    </font>
    <font>
      <name val="Arial"/>
      <color rgb="00000000"/>
      <sz val="9"/>
    </font>
    <font>
      <name val="Arial"/>
      <i val="1"/>
      <color rgb="007F7F7F"/>
      <sz val="9"/>
    </font>
    <font>
      <name val="Arial"/>
      <b val="1"/>
      <sz val="9"/>
    </font>
    <font>
      <name val="Arial"/>
      <i val="1"/>
      <sz val="9"/>
    </font>
    <font>
      <name val="Arial"/>
      <b val="1"/>
      <color rgb="00FFFFFF"/>
      <sz val="12"/>
    </font>
    <font>
      <name val="Arial"/>
      <b val="1"/>
      <color rgb="00375623"/>
      <sz val="9"/>
    </font>
    <font>
      <name val="Arial"/>
      <b val="1"/>
      <color rgb="001F3864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FFF99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5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6" fillId="5" borderId="0" pivotButton="0" quotePrefix="0" xfId="0"/>
    <xf numFmtId="0" fontId="9" fillId="7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F3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AES-220  |  IP Address Input Sheet  |  Enter all IP values here</t>
        </is>
      </c>
    </row>
    <row r="2" ht="20" customHeight="1">
      <c r="A2" s="2" t="inlineStr">
        <is>
          <t>⚠️  CONFIDENTIAL — AMEX Internal Use Only.  Fill in the IP/Subnet for each component. All firewall rule tabs will auto-populate.</t>
        </is>
      </c>
    </row>
    <row r="3" ht="24" customHeight="1">
      <c r="A3" s="3" t="inlineStr">
        <is>
          <t>#</t>
        </is>
      </c>
      <c r="B3" s="3" t="inlineStr">
        <is>
          <t>Component / Service</t>
        </is>
      </c>
      <c r="C3" s="3" t="inlineStr">
        <is>
          <t>Named Range Key</t>
        </is>
      </c>
      <c r="D3" s="3" t="inlineStr">
        <is>
          <t>AZ1  IP / Subnet</t>
        </is>
      </c>
      <c r="E3" s="3" t="inlineStr">
        <is>
          <t>AZ2  IP / Subnet</t>
        </is>
      </c>
      <c r="F3" s="3" t="inlineStr">
        <is>
          <t>AZ3  IP / Subnet</t>
        </is>
      </c>
    </row>
    <row r="4" ht="22" customHeight="1">
      <c r="A4" s="4" t="inlineStr">
        <is>
          <t>🔷  FLEET COMPONENTS  (NSX Overlay Segment)</t>
        </is>
      </c>
    </row>
    <row r="5" ht="18" customHeight="1">
      <c r="A5" s="5" t="inlineStr">
        <is>
          <t>F1</t>
        </is>
      </c>
      <c r="B5" s="5" t="inlineStr">
        <is>
          <t>VCF Operations Fleet Manager</t>
        </is>
      </c>
      <c r="C5" s="5" t="inlineStr">
        <is>
          <t>FLEET_MGR</t>
        </is>
      </c>
      <c r="D5" s="6" t="inlineStr"/>
      <c r="E5" s="6" t="inlineStr"/>
      <c r="F5" s="6" t="inlineStr"/>
    </row>
    <row r="6" ht="18" customHeight="1">
      <c r="A6" s="5" t="inlineStr">
        <is>
          <t>F2</t>
        </is>
      </c>
      <c r="B6" s="5" t="inlineStr">
        <is>
          <t>VCF Operations (VCFO)</t>
        </is>
      </c>
      <c r="C6" s="5" t="inlineStr">
        <is>
          <t>VCFO</t>
        </is>
      </c>
      <c r="D6" s="6" t="inlineStr"/>
      <c r="E6" s="6" t="inlineStr"/>
      <c r="F6" s="6" t="inlineStr"/>
    </row>
    <row r="7" ht="18" customHeight="1">
      <c r="A7" s="5" t="inlineStr">
        <is>
          <t>F3</t>
        </is>
      </c>
      <c r="B7" s="5" t="inlineStr">
        <is>
          <t>VCF Automation (VCFA)</t>
        </is>
      </c>
      <c r="C7" s="5" t="inlineStr">
        <is>
          <t>VCFA</t>
        </is>
      </c>
      <c r="D7" s="6" t="inlineStr"/>
      <c r="E7" s="6" t="inlineStr"/>
      <c r="F7" s="6" t="inlineStr"/>
    </row>
    <row r="8" ht="18" customHeight="1">
      <c r="A8" s="5" t="inlineStr">
        <is>
          <t>F4</t>
        </is>
      </c>
      <c r="B8" s="5" t="inlineStr">
        <is>
          <t>VCF Operations for Logs (VOL)</t>
        </is>
      </c>
      <c r="C8" s="5" t="inlineStr">
        <is>
          <t>VOL</t>
        </is>
      </c>
      <c r="D8" s="6" t="inlineStr"/>
      <c r="E8" s="6" t="inlineStr"/>
      <c r="F8" s="6" t="inlineStr"/>
    </row>
    <row r="9" ht="18" customHeight="1">
      <c r="A9" s="5" t="inlineStr">
        <is>
          <t>F5</t>
        </is>
      </c>
      <c r="B9" s="5" t="inlineStr">
        <is>
          <t>VCF Operations for Networks (VON)</t>
        </is>
      </c>
      <c r="C9" s="5" t="inlineStr">
        <is>
          <t>VON</t>
        </is>
      </c>
      <c r="D9" s="6" t="inlineStr"/>
      <c r="E9" s="6" t="inlineStr"/>
      <c r="F9" s="6" t="inlineStr"/>
    </row>
    <row r="10" ht="18" customHeight="1">
      <c r="A10" s="5" t="inlineStr">
        <is>
          <t>F6</t>
        </is>
      </c>
      <c r="B10" s="5" t="inlineStr">
        <is>
          <t>Identity Broker (VIDB)</t>
        </is>
      </c>
      <c r="C10" s="5" t="inlineStr">
        <is>
          <t>VIDB</t>
        </is>
      </c>
      <c r="D10" s="6" t="inlineStr"/>
      <c r="E10" s="6" t="inlineStr"/>
      <c r="F10" s="6" t="inlineStr"/>
    </row>
    <row r="11" ht="18" customHeight="1">
      <c r="A11" s="5" t="inlineStr">
        <is>
          <t>F7</t>
        </is>
      </c>
      <c r="B11" s="5" t="inlineStr">
        <is>
          <t>Fleet Overlay Subnet (overall)</t>
        </is>
      </c>
      <c r="C11" s="5" t="inlineStr">
        <is>
          <t>FLEET_SUBNET</t>
        </is>
      </c>
      <c r="D11" s="6" t="inlineStr"/>
      <c r="E11" s="6" t="inlineStr"/>
      <c r="F11" s="6" t="inlineStr"/>
    </row>
    <row r="12" ht="22" customHeight="1">
      <c r="A12" s="4" t="inlineStr">
        <is>
          <t>🔷  MANAGEMENT DOMAIN COMPONENTS  (VLAN 2600 — per AZ)</t>
        </is>
      </c>
    </row>
    <row r="13" ht="18" customHeight="1">
      <c r="A13" s="5" t="inlineStr">
        <is>
          <t>M1</t>
        </is>
      </c>
      <c r="B13" s="5" t="inlineStr">
        <is>
          <t>vCenter Server</t>
        </is>
      </c>
      <c r="C13" s="5" t="inlineStr">
        <is>
          <t>VCENTER</t>
        </is>
      </c>
      <c r="D13" s="6" t="inlineStr"/>
      <c r="E13" s="6" t="inlineStr"/>
      <c r="F13" s="6" t="inlineStr"/>
    </row>
    <row r="14" ht="18" customHeight="1">
      <c r="A14" s="5" t="inlineStr">
        <is>
          <t>M2</t>
        </is>
      </c>
      <c r="B14" s="5" t="inlineStr">
        <is>
          <t>NSX Manager (Local)</t>
        </is>
      </c>
      <c r="C14" s="5" t="inlineStr">
        <is>
          <t>NSX_MGR</t>
        </is>
      </c>
      <c r="D14" s="6" t="inlineStr"/>
      <c r="E14" s="6" t="inlineStr"/>
      <c r="F14" s="6" t="inlineStr"/>
    </row>
    <row r="15" ht="18" customHeight="1">
      <c r="A15" s="5" t="inlineStr">
        <is>
          <t>M3</t>
        </is>
      </c>
      <c r="B15" s="5" t="inlineStr">
        <is>
          <t>NSX Global Manager</t>
        </is>
      </c>
      <c r="C15" s="5" t="inlineStr">
        <is>
          <t>NSX_GM</t>
        </is>
      </c>
      <c r="D15" s="6" t="inlineStr"/>
      <c r="E15" s="6" t="inlineStr"/>
      <c r="F15" s="6" t="inlineStr"/>
    </row>
    <row r="16" ht="18" customHeight="1">
      <c r="A16" s="5" t="inlineStr">
        <is>
          <t>M4</t>
        </is>
      </c>
      <c r="B16" s="5" t="inlineStr">
        <is>
          <t>SDDC Manager</t>
        </is>
      </c>
      <c r="C16" s="5" t="inlineStr">
        <is>
          <t>SDDC_MGR</t>
        </is>
      </c>
      <c r="D16" s="6" t="inlineStr"/>
      <c r="E16" s="6" t="inlineStr"/>
      <c r="F16" s="6" t="inlineStr"/>
    </row>
    <row r="17" ht="18" customHeight="1">
      <c r="A17" s="5" t="inlineStr">
        <is>
          <t>M5</t>
        </is>
      </c>
      <c r="B17" s="5" t="inlineStr">
        <is>
          <t>VCF Operations Collector</t>
        </is>
      </c>
      <c r="C17" s="5" t="inlineStr">
        <is>
          <t>VCFO_COLL</t>
        </is>
      </c>
      <c r="D17" s="6" t="inlineStr"/>
      <c r="E17" s="6" t="inlineStr"/>
      <c r="F17" s="6" t="inlineStr"/>
    </row>
    <row r="18" ht="18" customHeight="1">
      <c r="A18" s="5" t="inlineStr">
        <is>
          <t>M6</t>
        </is>
      </c>
      <c r="B18" s="5" t="inlineStr">
        <is>
          <t>ESXi Mgmt Subnet — Mgmt Domain</t>
        </is>
      </c>
      <c r="C18" s="5" t="inlineStr">
        <is>
          <t>ESXI_MGMT_MD</t>
        </is>
      </c>
      <c r="D18" s="6" t="inlineStr"/>
      <c r="E18" s="6" t="inlineStr"/>
      <c r="F18" s="6" t="inlineStr"/>
    </row>
    <row r="19" ht="22" customHeight="1">
      <c r="A19" s="4" t="inlineStr">
        <is>
          <t>🔷  WORKLOAD DOMAIN  (per AZ)</t>
        </is>
      </c>
    </row>
    <row r="20" ht="18" customHeight="1">
      <c r="A20" s="5" t="inlineStr">
        <is>
          <t>W1</t>
        </is>
      </c>
      <c r="B20" s="5" t="inlineStr">
        <is>
          <t>ESXi Mgmt Subnet — WLD</t>
        </is>
      </c>
      <c r="C20" s="5" t="inlineStr">
        <is>
          <t>ESXI_MGMT_WLD</t>
        </is>
      </c>
      <c r="D20" s="6" t="inlineStr"/>
      <c r="E20" s="6" t="inlineStr"/>
      <c r="F20" s="6" t="inlineStr"/>
    </row>
    <row r="21" ht="18" customHeight="1">
      <c r="A21" s="5" t="inlineStr">
        <is>
          <t>W2</t>
        </is>
      </c>
      <c r="B21" s="5" t="inlineStr">
        <is>
          <t>Workload Ext Subnet</t>
        </is>
      </c>
      <c r="C21" s="5" t="inlineStr">
        <is>
          <t>WLD_EXT</t>
        </is>
      </c>
      <c r="D21" s="6" t="inlineStr"/>
      <c r="E21" s="6" t="inlineStr"/>
      <c r="F21" s="6" t="inlineStr"/>
    </row>
    <row r="22" ht="18" customHeight="1">
      <c r="A22" s="5" t="inlineStr">
        <is>
          <t>W3</t>
        </is>
      </c>
      <c r="B22" s="5" t="inlineStr">
        <is>
          <t>VPC Segment Subnet</t>
        </is>
      </c>
      <c r="C22" s="5" t="inlineStr">
        <is>
          <t>VPC_SEG</t>
        </is>
      </c>
      <c r="D22" s="6" t="inlineStr"/>
      <c r="E22" s="6" t="inlineStr"/>
      <c r="F22" s="6" t="inlineStr"/>
    </row>
    <row r="23" ht="22" customHeight="1">
      <c r="A23" s="4" t="inlineStr">
        <is>
          <t>🔷  EXTERNAL SERVICES  (shared — no AZ split needed)</t>
        </is>
      </c>
    </row>
    <row r="24" ht="18" customHeight="1">
      <c r="A24" s="5" t="inlineStr">
        <is>
          <t>E1</t>
        </is>
      </c>
      <c r="B24" s="5" t="inlineStr">
        <is>
          <t>DNS Server</t>
        </is>
      </c>
      <c r="C24" s="5" t="inlineStr">
        <is>
          <t>DNS_SRV</t>
        </is>
      </c>
      <c r="D24" s="6" t="inlineStr"/>
      <c r="E24" s="7" t="inlineStr">
        <is>
          <t>N/A — shared</t>
        </is>
      </c>
      <c r="F24" s="7" t="inlineStr">
        <is>
          <t>N/A — shared</t>
        </is>
      </c>
    </row>
    <row r="25" ht="18" customHeight="1">
      <c r="A25" s="5" t="inlineStr">
        <is>
          <t>E2</t>
        </is>
      </c>
      <c r="B25" s="5" t="inlineStr">
        <is>
          <t>NTP Server</t>
        </is>
      </c>
      <c r="C25" s="5" t="inlineStr">
        <is>
          <t>NTP_SRV</t>
        </is>
      </c>
      <c r="D25" s="6" t="inlineStr"/>
      <c r="E25" s="7" t="inlineStr">
        <is>
          <t>N/A — shared</t>
        </is>
      </c>
      <c r="F25" s="7" t="inlineStr">
        <is>
          <t>N/A — shared</t>
        </is>
      </c>
    </row>
    <row r="26" ht="18" customHeight="1">
      <c r="A26" s="5" t="inlineStr">
        <is>
          <t>E3</t>
        </is>
      </c>
      <c r="B26" s="5" t="inlineStr">
        <is>
          <t>AD / LDAP Server</t>
        </is>
      </c>
      <c r="C26" s="5" t="inlineStr">
        <is>
          <t>AD_SRV</t>
        </is>
      </c>
      <c r="D26" s="6" t="inlineStr"/>
      <c r="E26" s="7" t="inlineStr">
        <is>
          <t>N/A — shared</t>
        </is>
      </c>
      <c r="F26" s="7" t="inlineStr">
        <is>
          <t>N/A — shared</t>
        </is>
      </c>
    </row>
    <row r="27" ht="18" customHeight="1">
      <c r="A27" s="5" t="inlineStr">
        <is>
          <t>E4</t>
        </is>
      </c>
      <c r="B27" s="5" t="inlineStr">
        <is>
          <t>CA Certificate Server</t>
        </is>
      </c>
      <c r="C27" s="5" t="inlineStr">
        <is>
          <t>CA_SRV</t>
        </is>
      </c>
      <c r="D27" s="6" t="inlineStr"/>
      <c r="E27" s="7" t="inlineStr">
        <is>
          <t>N/A — shared</t>
        </is>
      </c>
      <c r="F27" s="7" t="inlineStr">
        <is>
          <t>N/A — shared</t>
        </is>
      </c>
    </row>
    <row r="28" ht="18" customHeight="1">
      <c r="A28" s="5" t="inlineStr">
        <is>
          <t>E5</t>
        </is>
      </c>
      <c r="B28" s="5" t="inlineStr">
        <is>
          <t>SFTP Backup Server</t>
        </is>
      </c>
      <c r="C28" s="5" t="inlineStr">
        <is>
          <t>SFTP_SRV</t>
        </is>
      </c>
      <c r="D28" s="6" t="inlineStr"/>
      <c r="E28" s="7" t="inlineStr">
        <is>
          <t>N/A — shared</t>
        </is>
      </c>
      <c r="F28" s="7" t="inlineStr">
        <is>
          <t>N/A — shared</t>
        </is>
      </c>
    </row>
    <row r="29" ht="18" customHeight="1">
      <c r="A29" s="5" t="inlineStr">
        <is>
          <t>E6</t>
        </is>
      </c>
      <c r="B29" s="5" t="inlineStr">
        <is>
          <t>Artifactory / Depot</t>
        </is>
      </c>
      <c r="C29" s="5" t="inlineStr">
        <is>
          <t>ARTIF_SRV</t>
        </is>
      </c>
      <c r="D29" s="6" t="inlineStr"/>
      <c r="E29" s="7" t="inlineStr">
        <is>
          <t>N/A — shared</t>
        </is>
      </c>
      <c r="F29" s="7" t="inlineStr">
        <is>
          <t>N/A — shared</t>
        </is>
      </c>
    </row>
    <row r="31">
      <c r="A31" s="8" t="inlineStr">
        <is>
          <t>LEGEND:</t>
        </is>
      </c>
      <c r="B31" s="9" t="inlineStr">
        <is>
          <t>Yellow cells = enter IP/subnet here</t>
        </is>
      </c>
      <c r="C31" s="10" t="inlineStr">
        <is>
          <t>Grey = not applicable</t>
        </is>
      </c>
    </row>
  </sheetData>
  <mergeCells count="6">
    <mergeCell ref="A2:F2"/>
    <mergeCell ref="A19:F19"/>
    <mergeCell ref="A1:F1"/>
    <mergeCell ref="A23:F23"/>
    <mergeCell ref="A12:F1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28" customWidth="1" min="3" max="3"/>
    <col width="24" customWidth="1" min="4" max="4"/>
    <col width="28" customWidth="1" min="5" max="5"/>
    <col width="24" customWidth="1" min="6" max="6"/>
    <col width="12" customWidth="1" min="7" max="7"/>
    <col width="10" customWidth="1" min="8" max="8"/>
    <col width="30" customWidth="1" min="9" max="9"/>
    <col width="8" customWidth="1" min="10" max="10"/>
    <col width="14" customWidth="1" min="11" max="11"/>
    <col width="14" customWidth="1" min="12" max="12"/>
    <col width="38" customWidth="1" min="13" max="13"/>
  </cols>
  <sheetData>
    <row r="1" ht="28" customHeight="1">
      <c r="A1" s="11" t="inlineStr">
        <is>
          <t>AES-220  |  Firewall Rules  |  Fleet → Management Domain &amp; WLD ESXi Hosts</t>
        </is>
      </c>
    </row>
    <row r="2" ht="18" customHeight="1">
      <c r="A2" s="2" t="inlineStr">
        <is>
          <t>Source IP and Destination IP auto-populate from '📋 IP Input Sheet'.  Fill in IPs there first.</t>
        </is>
      </c>
    </row>
    <row r="3" ht="28" customHeight="1">
      <c r="A3" s="3" t="inlineStr">
        <is>
          <t>#</t>
        </is>
      </c>
      <c r="B3" s="3" t="inlineStr">
        <is>
          <t>Rule Name</t>
        </is>
      </c>
      <c r="C3" s="3" t="inlineStr">
        <is>
          <t>Source Component</t>
        </is>
      </c>
      <c r="D3" s="3" t="inlineStr">
        <is>
          <t>Source IP / Subnet</t>
        </is>
      </c>
      <c r="E3" s="3" t="inlineStr">
        <is>
          <t>Destination Component</t>
        </is>
      </c>
      <c r="F3" s="3" t="inlineStr">
        <is>
          <t>Destination IP / Subnet</t>
        </is>
      </c>
      <c r="G3" s="3" t="inlineStr">
        <is>
          <t>Port</t>
        </is>
      </c>
      <c r="H3" s="3" t="inlineStr">
        <is>
          <t>Protocol</t>
        </is>
      </c>
      <c r="I3" s="3" t="inlineStr">
        <is>
          <t>Service / Application</t>
        </is>
      </c>
      <c r="J3" s="3" t="inlineStr">
        <is>
          <t>Action</t>
        </is>
      </c>
      <c r="K3" s="3" t="inlineStr">
        <is>
          <t>Firewall Type</t>
        </is>
      </c>
      <c r="L3" s="3" t="inlineStr">
        <is>
          <t>Flow Direction</t>
        </is>
      </c>
      <c r="M3" s="3" t="inlineStr">
        <is>
          <t>Notes</t>
        </is>
      </c>
    </row>
    <row r="4" ht="18" customHeight="1">
      <c r="A4" s="12" t="inlineStr">
        <is>
          <t>FM-01</t>
        </is>
      </c>
      <c r="B4" s="12" t="inlineStr">
        <is>
          <t>Fleet Mgr → SDDC Mgmt</t>
        </is>
      </c>
      <c r="C4" s="12" t="inlineStr">
        <is>
          <t>VCF Operations Fleet Manager</t>
        </is>
      </c>
      <c r="D4" s="12">
        <f>IFERROR(IF('📋 IP Input Sheet'!D5&lt;&gt;"",'📋 IP Input Sheet'!D5,IF('📋 IP Input Sheet'!E5&lt;&gt;"",'📋 IP Input Sheet'!E5,'📋 IP Input Sheet'!F5)),"[Enter IP]")</f>
        <v/>
      </c>
      <c r="E4" s="12" t="inlineStr">
        <is>
          <t>SDDC Manager</t>
        </is>
      </c>
      <c r="F4" s="12">
        <f>IFERROR(IF('📋 IP Input Sheet'!D16&lt;&gt;"",'📋 IP Input Sheet'!D16,IF('📋 IP Input Sheet'!E16&lt;&gt;"",'📋 IP Input Sheet'!E16,'📋 IP Input Sheet'!F16)),"[Enter IP]")</f>
        <v/>
      </c>
      <c r="G4" s="12" t="inlineStr">
        <is>
          <t>443</t>
        </is>
      </c>
      <c r="H4" s="12" t="inlineStr">
        <is>
          <t>TCP</t>
        </is>
      </c>
      <c r="I4" s="12" t="inlineStr">
        <is>
          <t>Lifecycle Management</t>
        </is>
      </c>
      <c r="J4" s="13" t="inlineStr">
        <is>
          <t>Allow</t>
        </is>
      </c>
      <c r="K4" s="14" t="inlineStr">
        <is>
          <t>Gateway FW</t>
        </is>
      </c>
      <c r="L4" s="12" t="inlineStr">
        <is>
          <t>Outbound</t>
        </is>
      </c>
      <c r="M4" s="12" t="inlineStr">
        <is>
          <t>Ticket req #3 — Fleet→Mgmt</t>
        </is>
      </c>
    </row>
    <row r="5" ht="18" customHeight="1">
      <c r="A5" s="15" t="inlineStr">
        <is>
          <t>FM-02</t>
        </is>
      </c>
      <c r="B5" s="15" t="inlineStr">
        <is>
          <t>Fleet Mgr → VCF Operations</t>
        </is>
      </c>
      <c r="C5" s="15" t="inlineStr">
        <is>
          <t>VCF Operations Fleet Manager</t>
        </is>
      </c>
      <c r="D5" s="15">
        <f>IFERROR(IF('📋 IP Input Sheet'!D5&lt;&gt;"",'📋 IP Input Sheet'!D5,IF('📋 IP Input Sheet'!E5&lt;&gt;"",'📋 IP Input Sheet'!E5,'📋 IP Input Sheet'!F5)),"[Enter IP]")</f>
        <v/>
      </c>
      <c r="E5" s="15" t="inlineStr">
        <is>
          <t>VCF Operations (VCFO)</t>
        </is>
      </c>
      <c r="F5" s="15">
        <f>IFERROR(IF('📋 IP Input Sheet'!D6&lt;&gt;"",'📋 IP Input Sheet'!D6,IF('📋 IP Input Sheet'!E6&lt;&gt;"",'📋 IP Input Sheet'!E6,'📋 IP Input Sheet'!F6)),"[Enter IP]")</f>
        <v/>
      </c>
      <c r="G5" s="15" t="inlineStr">
        <is>
          <t>443</t>
        </is>
      </c>
      <c r="H5" s="15" t="inlineStr">
        <is>
          <t>TCP</t>
        </is>
      </c>
      <c r="I5" s="15" t="inlineStr">
        <is>
          <t>VCF Ops collector metrics</t>
        </is>
      </c>
      <c r="J5" s="13" t="inlineStr">
        <is>
          <t>Allow</t>
        </is>
      </c>
      <c r="K5" s="14" t="inlineStr">
        <is>
          <t>Gateway FW</t>
        </is>
      </c>
      <c r="L5" s="15" t="inlineStr">
        <is>
          <t>Outbound</t>
        </is>
      </c>
      <c r="M5" s="15" t="inlineStr">
        <is>
          <t>Bidirectional</t>
        </is>
      </c>
    </row>
    <row r="6" ht="18" customHeight="1">
      <c r="A6" s="12" t="inlineStr">
        <is>
          <t>FM-03</t>
        </is>
      </c>
      <c r="B6" s="12" t="inlineStr">
        <is>
          <t>Fleet Mgr → vCenter</t>
        </is>
      </c>
      <c r="C6" s="12" t="inlineStr">
        <is>
          <t>VCF Operations Fleet Manager</t>
        </is>
      </c>
      <c r="D6" s="12">
        <f>IFERROR(IF('📋 IP Input Sheet'!D5&lt;&gt;"",'📋 IP Input Sheet'!D5,IF('📋 IP Input Sheet'!E5&lt;&gt;"",'📋 IP Input Sheet'!E5,'📋 IP Input Sheet'!F5)),"[Enter IP]")</f>
        <v/>
      </c>
      <c r="E6" s="12" t="inlineStr">
        <is>
          <t>vCenter Server</t>
        </is>
      </c>
      <c r="F6" s="12">
        <f>IFERROR(IF('📋 IP Input Sheet'!D13&lt;&gt;"",'📋 IP Input Sheet'!D13,IF('📋 IP Input Sheet'!E13&lt;&gt;"",'📋 IP Input Sheet'!E13,'📋 IP Input Sheet'!F13)),"[Enter IP]")</f>
        <v/>
      </c>
      <c r="G6" s="12" t="inlineStr">
        <is>
          <t>443</t>
        </is>
      </c>
      <c r="H6" s="12" t="inlineStr">
        <is>
          <t>TCP</t>
        </is>
      </c>
      <c r="I6" s="12" t="inlineStr">
        <is>
          <t>vCenter config &amp; mgmt tasks</t>
        </is>
      </c>
      <c r="J6" s="13" t="inlineStr">
        <is>
          <t>Allow</t>
        </is>
      </c>
      <c r="K6" s="14" t="inlineStr">
        <is>
          <t>Gateway FW</t>
        </is>
      </c>
      <c r="L6" s="12" t="inlineStr">
        <is>
          <t>Outbound</t>
        </is>
      </c>
      <c r="M6" s="12" t="inlineStr"/>
    </row>
    <row r="7" ht="18" customHeight="1">
      <c r="A7" s="15" t="inlineStr">
        <is>
          <t>FM-04</t>
        </is>
      </c>
      <c r="B7" s="15" t="inlineStr">
        <is>
          <t>Fleet Mgr → NSX Manager</t>
        </is>
      </c>
      <c r="C7" s="15" t="inlineStr">
        <is>
          <t>VCF Operations Fleet Manager</t>
        </is>
      </c>
      <c r="D7" s="15">
        <f>IFERROR(IF('📋 IP Input Sheet'!D5&lt;&gt;"",'📋 IP Input Sheet'!D5,IF('📋 IP Input Sheet'!E5&lt;&gt;"",'📋 IP Input Sheet'!E5,'📋 IP Input Sheet'!F5)),"[Enter IP]")</f>
        <v/>
      </c>
      <c r="E7" s="15" t="inlineStr">
        <is>
          <t>NSX Manager</t>
        </is>
      </c>
      <c r="F7" s="15">
        <f>IFERROR(IF('📋 IP Input Sheet'!D14&lt;&gt;"",'📋 IP Input Sheet'!D14,IF('📋 IP Input Sheet'!E14&lt;&gt;"",'📋 IP Input Sheet'!E14,'📋 IP Input Sheet'!F14)),"[Enter IP]")</f>
        <v/>
      </c>
      <c r="G7" s="15" t="inlineStr">
        <is>
          <t>443</t>
        </is>
      </c>
      <c r="H7" s="15" t="inlineStr">
        <is>
          <t>TCP</t>
        </is>
      </c>
      <c r="I7" s="15" t="inlineStr">
        <is>
          <t>NSX networking &amp; security config</t>
        </is>
      </c>
      <c r="J7" s="13" t="inlineStr">
        <is>
          <t>Allow</t>
        </is>
      </c>
      <c r="K7" s="14" t="inlineStr">
        <is>
          <t>Gateway FW</t>
        </is>
      </c>
      <c r="L7" s="15" t="inlineStr">
        <is>
          <t>Outbound</t>
        </is>
      </c>
      <c r="M7" s="15" t="inlineStr"/>
    </row>
    <row r="8" ht="18" customHeight="1">
      <c r="A8" s="12" t="inlineStr">
        <is>
          <t>FM-05</t>
        </is>
      </c>
      <c r="B8" s="12" t="inlineStr">
        <is>
          <t>Fleet Mgr → DNS</t>
        </is>
      </c>
      <c r="C8" s="12" t="inlineStr">
        <is>
          <t>VCF Operations Fleet Manager</t>
        </is>
      </c>
      <c r="D8" s="12">
        <f>IFERROR(IF('📋 IP Input Sheet'!D5&lt;&gt;"",'📋 IP Input Sheet'!D5,IF('📋 IP Input Sheet'!E5&lt;&gt;"",'📋 IP Input Sheet'!E5,'📋 IP Input Sheet'!F5)),"[Enter IP]")</f>
        <v/>
      </c>
      <c r="E8" s="12" t="inlineStr">
        <is>
          <t>DNS Server</t>
        </is>
      </c>
      <c r="F8" s="12">
        <f>'📋 IP Input Sheet'!D24</f>
        <v/>
      </c>
      <c r="G8" s="12" t="inlineStr">
        <is>
          <t>53</t>
        </is>
      </c>
      <c r="H8" s="12" t="inlineStr">
        <is>
          <t>TCP/UDP</t>
        </is>
      </c>
      <c r="I8" s="12" t="inlineStr">
        <is>
          <t>Name resolution</t>
        </is>
      </c>
      <c r="J8" s="13" t="inlineStr">
        <is>
          <t>Allow</t>
        </is>
      </c>
      <c r="K8" s="14" t="inlineStr">
        <is>
          <t>Gateway FW</t>
        </is>
      </c>
      <c r="L8" s="12" t="inlineStr">
        <is>
          <t>Bidirectional</t>
        </is>
      </c>
      <c r="M8" s="12" t="inlineStr">
        <is>
          <t>All Fleet+VCF components</t>
        </is>
      </c>
    </row>
    <row r="9" ht="18" customHeight="1">
      <c r="A9" s="15" t="inlineStr">
        <is>
          <t>FM-06</t>
        </is>
      </c>
      <c r="B9" s="15" t="inlineStr">
        <is>
          <t>Fleet Mgr → NTP</t>
        </is>
      </c>
      <c r="C9" s="15" t="inlineStr">
        <is>
          <t>VCF Operations Fleet Manager</t>
        </is>
      </c>
      <c r="D9" s="15">
        <f>IFERROR(IF('📋 IP Input Sheet'!D5&lt;&gt;"",'📋 IP Input Sheet'!D5,IF('📋 IP Input Sheet'!E5&lt;&gt;"",'📋 IP Input Sheet'!E5,'📋 IP Input Sheet'!F5)),"[Enter IP]")</f>
        <v/>
      </c>
      <c r="E9" s="15" t="inlineStr">
        <is>
          <t>NTP Server</t>
        </is>
      </c>
      <c r="F9" s="15">
        <f>'📋 IP Input Sheet'!D25</f>
        <v/>
      </c>
      <c r="G9" s="15" t="inlineStr">
        <is>
          <t>123</t>
        </is>
      </c>
      <c r="H9" s="15" t="inlineStr">
        <is>
          <t>UDP</t>
        </is>
      </c>
      <c r="I9" s="15" t="inlineStr">
        <is>
          <t>Time synchronisation</t>
        </is>
      </c>
      <c r="J9" s="13" t="inlineStr">
        <is>
          <t>Allow</t>
        </is>
      </c>
      <c r="K9" s="14" t="inlineStr">
        <is>
          <t>Gateway FW</t>
        </is>
      </c>
      <c r="L9" s="15" t="inlineStr">
        <is>
          <t>Outbound</t>
        </is>
      </c>
      <c r="M9" s="15" t="inlineStr"/>
    </row>
    <row r="10" ht="18" customHeight="1">
      <c r="A10" s="12" t="inlineStr">
        <is>
          <t>FM-07</t>
        </is>
      </c>
      <c r="B10" s="12" t="inlineStr">
        <is>
          <t>Fleet Mgr → ESXi (HTTPS)</t>
        </is>
      </c>
      <c r="C10" s="12" t="inlineStr">
        <is>
          <t>VCF Operations Fleet Manager</t>
        </is>
      </c>
      <c r="D10" s="12">
        <f>IFERROR(IF('📋 IP Input Sheet'!D5&lt;&gt;"",'📋 IP Input Sheet'!D5,IF('📋 IP Input Sheet'!E5&lt;&gt;"",'📋 IP Input Sheet'!E5,'📋 IP Input Sheet'!F5)),"[Enter IP]")</f>
        <v/>
      </c>
      <c r="E10" s="12" t="inlineStr">
        <is>
          <t>ESXi Hosts (WLD)</t>
        </is>
      </c>
      <c r="F10" s="12">
        <f>IFERROR(IF('📋 IP Input Sheet'!D20&lt;&gt;"",'📋 IP Input Sheet'!D20,IF('📋 IP Input Sheet'!E20&lt;&gt;"",'📋 IP Input Sheet'!E20,'📋 IP Input Sheet'!F20)),"[Enter IP]")</f>
        <v/>
      </c>
      <c r="G10" s="12" t="inlineStr">
        <is>
          <t>443</t>
        </is>
      </c>
      <c r="H10" s="12" t="inlineStr">
        <is>
          <t>TCP</t>
        </is>
      </c>
      <c r="I10" s="12" t="inlineStr">
        <is>
          <t>Secure web services / APIs</t>
        </is>
      </c>
      <c r="J10" s="13" t="inlineStr">
        <is>
          <t>Allow</t>
        </is>
      </c>
      <c r="K10" s="14" t="inlineStr">
        <is>
          <t>Gateway FW</t>
        </is>
      </c>
      <c r="L10" s="12" t="inlineStr">
        <is>
          <t>Outbound</t>
        </is>
      </c>
      <c r="M10" s="12" t="inlineStr"/>
    </row>
    <row r="11" ht="18" customHeight="1">
      <c r="A11" s="15" t="inlineStr">
        <is>
          <t>FM-08</t>
        </is>
      </c>
      <c r="B11" s="15" t="inlineStr">
        <is>
          <t>Fleet Mgr → VCFA (SSH)</t>
        </is>
      </c>
      <c r="C11" s="15" t="inlineStr">
        <is>
          <t>VCF Operations Fleet Manager</t>
        </is>
      </c>
      <c r="D11" s="15">
        <f>IFERROR(IF('📋 IP Input Sheet'!D5&lt;&gt;"",'📋 IP Input Sheet'!D5,IF('📋 IP Input Sheet'!E5&lt;&gt;"",'📋 IP Input Sheet'!E5,'📋 IP Input Sheet'!F5)),"[Enter IP]")</f>
        <v/>
      </c>
      <c r="E11" s="15" t="inlineStr">
        <is>
          <t>VCF Automation</t>
        </is>
      </c>
      <c r="F11" s="15">
        <f>IFERROR(IF('📋 IP Input Sheet'!D7&lt;&gt;"",'📋 IP Input Sheet'!D7,IF('📋 IP Input Sheet'!E7&lt;&gt;"",'📋 IP Input Sheet'!E7,'📋 IP Input Sheet'!F7)),"[Enter IP]")</f>
        <v/>
      </c>
      <c r="G11" s="15" t="inlineStr">
        <is>
          <t>22</t>
        </is>
      </c>
      <c r="H11" s="15" t="inlineStr">
        <is>
          <t>TCP</t>
        </is>
      </c>
      <c r="I11" s="15" t="inlineStr">
        <is>
          <t>SSH lifecycle tasks</t>
        </is>
      </c>
      <c r="J11" s="13" t="inlineStr">
        <is>
          <t>Allow</t>
        </is>
      </c>
      <c r="K11" s="14" t="inlineStr">
        <is>
          <t>Gateway FW</t>
        </is>
      </c>
      <c r="L11" s="15" t="inlineStr">
        <is>
          <t>Outbound</t>
        </is>
      </c>
      <c r="M11" s="15" t="inlineStr">
        <is>
          <t>Admin — restrict to jump host</t>
        </is>
      </c>
    </row>
    <row r="12" ht="18" customHeight="1">
      <c r="A12" s="12" t="inlineStr">
        <is>
          <t>FM-09</t>
        </is>
      </c>
      <c r="B12" s="12" t="inlineStr">
        <is>
          <t>Fleet Mgr → VCFA+VIDB (6443)</t>
        </is>
      </c>
      <c r="C12" s="12" t="inlineStr">
        <is>
          <t>VCF Operations Fleet Manager</t>
        </is>
      </c>
      <c r="D12" s="12">
        <f>IFERROR(IF('📋 IP Input Sheet'!D5&lt;&gt;"",'📋 IP Input Sheet'!D5,IF('📋 IP Input Sheet'!E5&lt;&gt;"",'📋 IP Input Sheet'!E5,'📋 IP Input Sheet'!F5)),"[Enter IP]")</f>
        <v/>
      </c>
      <c r="E12" s="12" t="inlineStr">
        <is>
          <t>Identity Broker &amp; VCF Automation</t>
        </is>
      </c>
      <c r="F12" s="12">
        <f>IFERROR(IF('📋 IP Input Sheet'!D7&lt;&gt;"",'📋 IP Input Sheet'!D7,IF('📋 IP Input Sheet'!E7&lt;&gt;"",'📋 IP Input Sheet'!E7,'📋 IP Input Sheet'!F7)),"[Enter IP]")</f>
        <v/>
      </c>
      <c r="G12" s="12" t="inlineStr">
        <is>
          <t>6443</t>
        </is>
      </c>
      <c r="H12" s="12" t="inlineStr">
        <is>
          <t>TCP</t>
        </is>
      </c>
      <c r="I12" s="12" t="inlineStr">
        <is>
          <t>Control Plane API (k8s apiserver)</t>
        </is>
      </c>
      <c r="J12" s="13" t="inlineStr">
        <is>
          <t>Allow</t>
        </is>
      </c>
      <c r="K12" s="14" t="inlineStr">
        <is>
          <t>Gateway FW</t>
        </is>
      </c>
      <c r="L12" s="12" t="inlineStr">
        <is>
          <t>Outbound</t>
        </is>
      </c>
      <c r="M12" s="12" t="inlineStr"/>
    </row>
    <row r="13" ht="18" customHeight="1">
      <c r="A13" s="15" t="inlineStr">
        <is>
          <t>FM-10</t>
        </is>
      </c>
      <c r="B13" s="15" t="inlineStr">
        <is>
          <t>Fleet Mgr → VCFA+VIDB (30006)</t>
        </is>
      </c>
      <c r="C13" s="15" t="inlineStr">
        <is>
          <t>VCF Operations Fleet Manager</t>
        </is>
      </c>
      <c r="D13" s="15">
        <f>IFERROR(IF('📋 IP Input Sheet'!D5&lt;&gt;"",'📋 IP Input Sheet'!D5,IF('📋 IP Input Sheet'!E5&lt;&gt;"",'📋 IP Input Sheet'!E5,'📋 IP Input Sheet'!F5)),"[Enter IP]")</f>
        <v/>
      </c>
      <c r="E13" s="15" t="inlineStr">
        <is>
          <t>Identity Broker &amp; VCF Automation</t>
        </is>
      </c>
      <c r="F13" s="15">
        <f>IFERROR(IF('📋 IP Input Sheet'!D7&lt;&gt;"",'📋 IP Input Sheet'!D7,IF('📋 IP Input Sheet'!E7&lt;&gt;"",'📋 IP Input Sheet'!E7,'📋 IP Input Sheet'!F7)),"[Enter IP]")</f>
        <v/>
      </c>
      <c r="G13" s="15" t="inlineStr">
        <is>
          <t>30006</t>
        </is>
      </c>
      <c r="H13" s="15" t="inlineStr">
        <is>
          <t>TCP</t>
        </is>
      </c>
      <c r="I13" s="15" t="inlineStr">
        <is>
          <t>Validates VCFA health pre-LCM</t>
        </is>
      </c>
      <c r="J13" s="13" t="inlineStr">
        <is>
          <t>Allow</t>
        </is>
      </c>
      <c r="K13" s="14" t="inlineStr">
        <is>
          <t>Gateway FW</t>
        </is>
      </c>
      <c r="L13" s="15" t="inlineStr">
        <is>
          <t>Outbound</t>
        </is>
      </c>
      <c r="M13" s="15" t="inlineStr"/>
    </row>
    <row r="14" ht="18" customHeight="1">
      <c r="A14" s="12" t="inlineStr">
        <is>
          <t>FM-11</t>
        </is>
      </c>
      <c r="B14" s="12" t="inlineStr">
        <is>
          <t>Fleet Mgr → VCFA+VIDB (30005)</t>
        </is>
      </c>
      <c r="C14" s="12" t="inlineStr">
        <is>
          <t>VCF Operations Fleet Manager</t>
        </is>
      </c>
      <c r="D14" s="12">
        <f>IFERROR(IF('📋 IP Input Sheet'!D5&lt;&gt;"",'📋 IP Input Sheet'!D5,IF('📋 IP Input Sheet'!E5&lt;&gt;"",'📋 IP Input Sheet'!E5,'📋 IP Input Sheet'!F5)),"[Enter IP]")</f>
        <v/>
      </c>
      <c r="E14" s="12" t="inlineStr">
        <is>
          <t>Identity Broker &amp; VCF Automation</t>
        </is>
      </c>
      <c r="F14" s="12">
        <f>IFERROR(IF('📋 IP Input Sheet'!D7&lt;&gt;"",'📋 IP Input Sheet'!D7,IF('📋 IP Input Sheet'!E7&lt;&gt;"",'📋 IP Input Sheet'!E7,'📋 IP Input Sheet'!F7)),"[Enter IP]")</f>
        <v/>
      </c>
      <c r="G14" s="12" t="inlineStr">
        <is>
          <t>30005</t>
        </is>
      </c>
      <c r="H14" s="12" t="inlineStr">
        <is>
          <t>TCP</t>
        </is>
      </c>
      <c r="I14" s="12" t="inlineStr">
        <is>
          <t>API calls to VIDB &amp; VCFA</t>
        </is>
      </c>
      <c r="J14" s="13" t="inlineStr">
        <is>
          <t>Allow</t>
        </is>
      </c>
      <c r="K14" s="14" t="inlineStr">
        <is>
          <t>Gateway FW</t>
        </is>
      </c>
      <c r="L14" s="12" t="inlineStr">
        <is>
          <t>Outbound</t>
        </is>
      </c>
      <c r="M14" s="12" t="inlineStr"/>
    </row>
    <row r="15" ht="18" customHeight="1">
      <c r="A15" s="15" t="inlineStr">
        <is>
          <t>FM-12</t>
        </is>
      </c>
      <c r="B15" s="15" t="inlineStr">
        <is>
          <t>Fleet Mgr → VCFA+VIDB (30001)</t>
        </is>
      </c>
      <c r="C15" s="15" t="inlineStr">
        <is>
          <t>VCF Operations Fleet Manager</t>
        </is>
      </c>
      <c r="D15" s="15">
        <f>IFERROR(IF('📋 IP Input Sheet'!D5&lt;&gt;"",'📋 IP Input Sheet'!D5,IF('📋 IP Input Sheet'!E5&lt;&gt;"",'📋 IP Input Sheet'!E5,'📋 IP Input Sheet'!F5)),"[Enter IP]")</f>
        <v/>
      </c>
      <c r="E15" s="15" t="inlineStr">
        <is>
          <t>Identity Broker &amp; VCF Automation</t>
        </is>
      </c>
      <c r="F15" s="15">
        <f>IFERROR(IF('📋 IP Input Sheet'!D7&lt;&gt;"",'📋 IP Input Sheet'!D7,IF('📋 IP Input Sheet'!E7&lt;&gt;"",'📋 IP Input Sheet'!E7,'📋 IP Input Sheet'!F7)),"[Enter IP]")</f>
        <v/>
      </c>
      <c r="G15" s="15" t="inlineStr">
        <is>
          <t>30001</t>
        </is>
      </c>
      <c r="H15" s="15" t="inlineStr">
        <is>
          <t>TCP</t>
        </is>
      </c>
      <c r="I15" s="15" t="inlineStr">
        <is>
          <t>Container images (k8s/VKS)</t>
        </is>
      </c>
      <c r="J15" s="13" t="inlineStr">
        <is>
          <t>Allow</t>
        </is>
      </c>
      <c r="K15" s="14" t="inlineStr">
        <is>
          <t>Gateway FW</t>
        </is>
      </c>
      <c r="L15" s="15" t="inlineStr">
        <is>
          <t>Outbound</t>
        </is>
      </c>
      <c r="M15" s="15" t="inlineStr"/>
    </row>
    <row r="16" ht="18" customHeight="1">
      <c r="A16" s="12" t="inlineStr">
        <is>
          <t>FM-13</t>
        </is>
      </c>
      <c r="B16" s="12" t="inlineStr">
        <is>
          <t>Fleet Mgr → VCFA+VIDB (30000)</t>
        </is>
      </c>
      <c r="C16" s="12" t="inlineStr">
        <is>
          <t>VCF Operations Fleet Manager</t>
        </is>
      </c>
      <c r="D16" s="12">
        <f>IFERROR(IF('📋 IP Input Sheet'!D5&lt;&gt;"",'📋 IP Input Sheet'!D5,IF('📋 IP Input Sheet'!E5&lt;&gt;"",'📋 IP Input Sheet'!E5,'📋 IP Input Sheet'!F5)),"[Enter IP]")</f>
        <v/>
      </c>
      <c r="E16" s="12" t="inlineStr">
        <is>
          <t>Identity Broker &amp; VCF Automation</t>
        </is>
      </c>
      <c r="F16" s="12">
        <f>IFERROR(IF('📋 IP Input Sheet'!D7&lt;&gt;"",'📋 IP Input Sheet'!D7,IF('📋 IP Input Sheet'!E7&lt;&gt;"",'📋 IP Input Sheet'!E7,'📋 IP Input Sheet'!F7)),"[Enter IP]")</f>
        <v/>
      </c>
      <c r="G16" s="12" t="inlineStr">
        <is>
          <t>30000</t>
        </is>
      </c>
      <c r="H16" s="12" t="inlineStr">
        <is>
          <t>TCP</t>
        </is>
      </c>
      <c r="I16" s="12" t="inlineStr">
        <is>
          <t>Container images (k8s/VKS)</t>
        </is>
      </c>
      <c r="J16" s="13" t="inlineStr">
        <is>
          <t>Allow</t>
        </is>
      </c>
      <c r="K16" s="14" t="inlineStr">
        <is>
          <t>Gateway FW</t>
        </is>
      </c>
      <c r="L16" s="12" t="inlineStr">
        <is>
          <t>Outbound</t>
        </is>
      </c>
      <c r="M16" s="12" t="inlineStr"/>
    </row>
    <row r="17" ht="18" customHeight="1">
      <c r="A17" s="15" t="inlineStr">
        <is>
          <t>FM-14</t>
        </is>
      </c>
      <c r="B17" s="15" t="inlineStr">
        <is>
          <t>Fleet Mgr → VCFA health</t>
        </is>
      </c>
      <c r="C17" s="15" t="inlineStr">
        <is>
          <t>VCF Operations Fleet Manager</t>
        </is>
      </c>
      <c r="D17" s="15">
        <f>IFERROR(IF('📋 IP Input Sheet'!D5&lt;&gt;"",'📋 IP Input Sheet'!D5,IF('📋 IP Input Sheet'!E5&lt;&gt;"",'📋 IP Input Sheet'!E5,'📋 IP Input Sheet'!F5)),"[Enter IP]")</f>
        <v/>
      </c>
      <c r="E17" s="15" t="inlineStr">
        <is>
          <t>VCF Automation</t>
        </is>
      </c>
      <c r="F17" s="15">
        <f>IFERROR(IF('📋 IP Input Sheet'!D7&lt;&gt;"",'📋 IP Input Sheet'!D7,IF('📋 IP Input Sheet'!E7&lt;&gt;"",'📋 IP Input Sheet'!E7,'📋 IP Input Sheet'!F7)),"[Enter IP]")</f>
        <v/>
      </c>
      <c r="G17" s="15" t="inlineStr">
        <is>
          <t>8008</t>
        </is>
      </c>
      <c r="H17" s="15" t="inlineStr">
        <is>
          <t>TCP</t>
        </is>
      </c>
      <c r="I17" s="15" t="inlineStr">
        <is>
          <t>Health check monitoring</t>
        </is>
      </c>
      <c r="J17" s="13" t="inlineStr">
        <is>
          <t>Allow</t>
        </is>
      </c>
      <c r="K17" s="14" t="inlineStr">
        <is>
          <t>Gateway FW</t>
        </is>
      </c>
      <c r="L17" s="15" t="inlineStr">
        <is>
          <t>Outbound</t>
        </is>
      </c>
      <c r="M17" s="15" t="inlineStr"/>
    </row>
    <row r="18" ht="18" customHeight="1">
      <c r="A18" s="12" t="inlineStr">
        <is>
          <t>VO-01</t>
        </is>
      </c>
      <c r="B18" s="12" t="inlineStr">
        <is>
          <t>VCF Ops → NTP</t>
        </is>
      </c>
      <c r="C18" s="12" t="inlineStr">
        <is>
          <t>VCF Operations (VCFO)</t>
        </is>
      </c>
      <c r="D18" s="12">
        <f>IFERROR(IF('📋 IP Input Sheet'!D6&lt;&gt;"",'📋 IP Input Sheet'!D6,IF('📋 IP Input Sheet'!E6&lt;&gt;"",'📋 IP Input Sheet'!E6,'📋 IP Input Sheet'!F6)),"[Enter IP]")</f>
        <v/>
      </c>
      <c r="E18" s="12" t="inlineStr">
        <is>
          <t>NTP Server</t>
        </is>
      </c>
      <c r="F18" s="12">
        <f>'📋 IP Input Sheet'!D25</f>
        <v/>
      </c>
      <c r="G18" s="12" t="inlineStr">
        <is>
          <t>123</t>
        </is>
      </c>
      <c r="H18" s="12" t="inlineStr">
        <is>
          <t>UDP</t>
        </is>
      </c>
      <c r="I18" s="12" t="inlineStr">
        <is>
          <t>Time sync — primary/replica/data nodes</t>
        </is>
      </c>
      <c r="J18" s="13" t="inlineStr">
        <is>
          <t>Allow</t>
        </is>
      </c>
      <c r="K18" s="14" t="inlineStr">
        <is>
          <t>Gateway FW</t>
        </is>
      </c>
      <c r="L18" s="12" t="inlineStr">
        <is>
          <t>Outbound</t>
        </is>
      </c>
      <c r="M18" s="12" t="inlineStr"/>
    </row>
    <row r="19" ht="18" customHeight="1">
      <c r="A19" s="15" t="inlineStr">
        <is>
          <t>VO-02</t>
        </is>
      </c>
      <c r="B19" s="15" t="inlineStr">
        <is>
          <t>VCF Ops → DNS</t>
        </is>
      </c>
      <c r="C19" s="15" t="inlineStr">
        <is>
          <t>VCF Operations (VCFO)</t>
        </is>
      </c>
      <c r="D19" s="15">
        <f>IFERROR(IF('📋 IP Input Sheet'!D6&lt;&gt;"",'📋 IP Input Sheet'!D6,IF('📋 IP Input Sheet'!E6&lt;&gt;"",'📋 IP Input Sheet'!E6,'📋 IP Input Sheet'!F6)),"[Enter IP]")</f>
        <v/>
      </c>
      <c r="E19" s="15" t="inlineStr">
        <is>
          <t>DNS Server</t>
        </is>
      </c>
      <c r="F19" s="15">
        <f>'📋 IP Input Sheet'!D24</f>
        <v/>
      </c>
      <c r="G19" s="15" t="inlineStr">
        <is>
          <t>53</t>
        </is>
      </c>
      <c r="H19" s="15" t="inlineStr">
        <is>
          <t>TCP/UDP</t>
        </is>
      </c>
      <c r="I19" s="15" t="inlineStr">
        <is>
          <t>DNS resolution</t>
        </is>
      </c>
      <c r="J19" s="13" t="inlineStr">
        <is>
          <t>Allow</t>
        </is>
      </c>
      <c r="K19" s="14" t="inlineStr">
        <is>
          <t>Gateway FW</t>
        </is>
      </c>
      <c r="L19" s="15" t="inlineStr">
        <is>
          <t>Outbound</t>
        </is>
      </c>
      <c r="M19" s="15" t="inlineStr"/>
    </row>
    <row r="20" ht="18" customHeight="1">
      <c r="A20" s="12" t="inlineStr">
        <is>
          <t>VO-03</t>
        </is>
      </c>
      <c r="B20" s="12" t="inlineStr">
        <is>
          <t>VCF Ops → LDAP</t>
        </is>
      </c>
      <c r="C20" s="12" t="inlineStr">
        <is>
          <t>VCF Operations (VCFO)</t>
        </is>
      </c>
      <c r="D20" s="12">
        <f>IFERROR(IF('📋 IP Input Sheet'!D6&lt;&gt;"",'📋 IP Input Sheet'!D6,IF('📋 IP Input Sheet'!E6&lt;&gt;"",'📋 IP Input Sheet'!E6,'📋 IP Input Sheet'!F6)),"[Enter IP]")</f>
        <v/>
      </c>
      <c r="E20" s="12" t="inlineStr">
        <is>
          <t>AD/LDAP Server</t>
        </is>
      </c>
      <c r="F20" s="12">
        <f>'📋 IP Input Sheet'!D26</f>
        <v/>
      </c>
      <c r="G20" s="12" t="inlineStr">
        <is>
          <t>389</t>
        </is>
      </c>
      <c r="H20" s="12" t="inlineStr">
        <is>
          <t>TCP</t>
        </is>
      </c>
      <c r="I20" s="12" t="inlineStr">
        <is>
          <t>LDAP directory</t>
        </is>
      </c>
      <c r="J20" s="13" t="inlineStr">
        <is>
          <t>Allow</t>
        </is>
      </c>
      <c r="K20" s="14" t="inlineStr">
        <is>
          <t>Gateway FW</t>
        </is>
      </c>
      <c r="L20" s="12" t="inlineStr">
        <is>
          <t>Outbound</t>
        </is>
      </c>
      <c r="M20" s="12" t="inlineStr"/>
    </row>
    <row r="21" ht="18" customHeight="1">
      <c r="A21" s="15" t="inlineStr">
        <is>
          <t>VO-04</t>
        </is>
      </c>
      <c r="B21" s="15" t="inlineStr">
        <is>
          <t>VCF Ops → LDAPS</t>
        </is>
      </c>
      <c r="C21" s="15" t="inlineStr">
        <is>
          <t>VCF Operations (VCFO)</t>
        </is>
      </c>
      <c r="D21" s="15">
        <f>IFERROR(IF('📋 IP Input Sheet'!D6&lt;&gt;"",'📋 IP Input Sheet'!D6,IF('📋 IP Input Sheet'!E6&lt;&gt;"",'📋 IP Input Sheet'!E6,'📋 IP Input Sheet'!F6)),"[Enter IP]")</f>
        <v/>
      </c>
      <c r="E21" s="15" t="inlineStr">
        <is>
          <t>AD/LDAP Server</t>
        </is>
      </c>
      <c r="F21" s="15">
        <f>'📋 IP Input Sheet'!D26</f>
        <v/>
      </c>
      <c r="G21" s="15" t="inlineStr">
        <is>
          <t>636</t>
        </is>
      </c>
      <c r="H21" s="15" t="inlineStr">
        <is>
          <t>TCP</t>
        </is>
      </c>
      <c r="I21" s="15" t="inlineStr">
        <is>
          <t>LDAPS secure directory</t>
        </is>
      </c>
      <c r="J21" s="13" t="inlineStr">
        <is>
          <t>Allow</t>
        </is>
      </c>
      <c r="K21" s="14" t="inlineStr">
        <is>
          <t>Gateway FW</t>
        </is>
      </c>
      <c r="L21" s="15" t="inlineStr">
        <is>
          <t>Outbound</t>
        </is>
      </c>
      <c r="M21" s="15" t="inlineStr"/>
    </row>
    <row r="22" ht="18" customHeight="1">
      <c r="A22" s="12" t="inlineStr">
        <is>
          <t>VO-05</t>
        </is>
      </c>
      <c r="B22" s="12" t="inlineStr">
        <is>
          <t>VCF Ops → Global Catalog</t>
        </is>
      </c>
      <c r="C22" s="12" t="inlineStr">
        <is>
          <t>VCF Operations (VCFO)</t>
        </is>
      </c>
      <c r="D22" s="12">
        <f>IFERROR(IF('📋 IP Input Sheet'!D6&lt;&gt;"",'📋 IP Input Sheet'!D6,IF('📋 IP Input Sheet'!E6&lt;&gt;"",'📋 IP Input Sheet'!E6,'📋 IP Input Sheet'!F6)),"[Enter IP]")</f>
        <v/>
      </c>
      <c r="E22" s="12" t="inlineStr">
        <is>
          <t>AD/LDAP Server</t>
        </is>
      </c>
      <c r="F22" s="12">
        <f>'📋 IP Input Sheet'!D26</f>
        <v/>
      </c>
      <c r="G22" s="12" t="inlineStr">
        <is>
          <t>3268/3269</t>
        </is>
      </c>
      <c r="H22" s="12" t="inlineStr">
        <is>
          <t>TCP</t>
        </is>
      </c>
      <c r="I22" s="12" t="inlineStr">
        <is>
          <t>Global Catalog AD</t>
        </is>
      </c>
      <c r="J22" s="13" t="inlineStr">
        <is>
          <t>Allow</t>
        </is>
      </c>
      <c r="K22" s="14" t="inlineStr">
        <is>
          <t>Gateway FW</t>
        </is>
      </c>
      <c r="L22" s="12" t="inlineStr">
        <is>
          <t>Outbound</t>
        </is>
      </c>
      <c r="M22" s="12" t="inlineStr"/>
    </row>
    <row r="23" ht="18" customHeight="1">
      <c r="A23" s="15" t="inlineStr">
        <is>
          <t>VO-06</t>
        </is>
      </c>
      <c r="B23" s="15" t="inlineStr">
        <is>
          <t>VCF Ops → SFTP</t>
        </is>
      </c>
      <c r="C23" s="15" t="inlineStr">
        <is>
          <t>VCF Operations (VCFO)</t>
        </is>
      </c>
      <c r="D23" s="15">
        <f>IFERROR(IF('📋 IP Input Sheet'!D6&lt;&gt;"",'📋 IP Input Sheet'!D6,IF('📋 IP Input Sheet'!E6&lt;&gt;"",'📋 IP Input Sheet'!E6,'📋 IP Input Sheet'!F6)),"[Enter IP]")</f>
        <v/>
      </c>
      <c r="E23" s="15" t="inlineStr">
        <is>
          <t>SFTP Server</t>
        </is>
      </c>
      <c r="F23" s="15">
        <f>'📋 IP Input Sheet'!D28</f>
        <v/>
      </c>
      <c r="G23" s="15" t="inlineStr">
        <is>
          <t>22</t>
        </is>
      </c>
      <c r="H23" s="15" t="inlineStr">
        <is>
          <t>TCP</t>
        </is>
      </c>
      <c r="I23" s="15" t="inlineStr">
        <is>
          <t>External backup</t>
        </is>
      </c>
      <c r="J23" s="13" t="inlineStr">
        <is>
          <t>Allow</t>
        </is>
      </c>
      <c r="K23" s="14" t="inlineStr">
        <is>
          <t>Gateway FW</t>
        </is>
      </c>
      <c r="L23" s="15" t="inlineStr">
        <is>
          <t>Outbound</t>
        </is>
      </c>
      <c r="M23" s="15" t="inlineStr"/>
    </row>
    <row r="24" ht="18" customHeight="1">
      <c r="A24" s="12" t="inlineStr">
        <is>
          <t>VO-07</t>
        </is>
      </c>
      <c r="B24" s="12" t="inlineStr">
        <is>
          <t>VCF Ops → vCenter (inventory)</t>
        </is>
      </c>
      <c r="C24" s="12" t="inlineStr">
        <is>
          <t>VCF Operations (VCFO)</t>
        </is>
      </c>
      <c r="D24" s="12">
        <f>IFERROR(IF('📋 IP Input Sheet'!D6&lt;&gt;"",'📋 IP Input Sheet'!D6,IF('📋 IP Input Sheet'!E6&lt;&gt;"",'📋 IP Input Sheet'!E6,'📋 IP Input Sheet'!F6)),"[Enter IP]")</f>
        <v/>
      </c>
      <c r="E24" s="12" t="inlineStr">
        <is>
          <t>vCenter Server</t>
        </is>
      </c>
      <c r="F24" s="12">
        <f>IFERROR(IF('📋 IP Input Sheet'!D13&lt;&gt;"",'📋 IP Input Sheet'!D13,IF('📋 IP Input Sheet'!E13&lt;&gt;"",'📋 IP Input Sheet'!E13,'📋 IP Input Sheet'!F13)),"[Enter IP]")</f>
        <v/>
      </c>
      <c r="G24" s="12" t="inlineStr">
        <is>
          <t>10443</t>
        </is>
      </c>
      <c r="H24" s="12" t="inlineStr">
        <is>
          <t>TCP</t>
        </is>
      </c>
      <c r="I24" s="12" t="inlineStr">
        <is>
          <t>vCenter inventory service</t>
        </is>
      </c>
      <c r="J24" s="13" t="inlineStr">
        <is>
          <t>Allow</t>
        </is>
      </c>
      <c r="K24" s="14" t="inlineStr">
        <is>
          <t>Gateway FW</t>
        </is>
      </c>
      <c r="L24" s="12" t="inlineStr">
        <is>
          <t>Outbound</t>
        </is>
      </c>
      <c r="M24" s="12" t="inlineStr"/>
    </row>
    <row r="25" ht="18" customHeight="1">
      <c r="A25" s="15" t="inlineStr">
        <is>
          <t>VO-08</t>
        </is>
      </c>
      <c r="B25" s="15" t="inlineStr">
        <is>
          <t>VCF Ops → vCenter (HTTPS)</t>
        </is>
      </c>
      <c r="C25" s="15" t="inlineStr">
        <is>
          <t>VCF Operations (VCFO)</t>
        </is>
      </c>
      <c r="D25" s="15">
        <f>IFERROR(IF('📋 IP Input Sheet'!D6&lt;&gt;"",'📋 IP Input Sheet'!D6,IF('📋 IP Input Sheet'!E6&lt;&gt;"",'📋 IP Input Sheet'!E6,'📋 IP Input Sheet'!F6)),"[Enter IP]")</f>
        <v/>
      </c>
      <c r="E25" s="15" t="inlineStr">
        <is>
          <t>vCenter Server</t>
        </is>
      </c>
      <c r="F25" s="15">
        <f>IFERROR(IF('📋 IP Input Sheet'!D13&lt;&gt;"",'📋 IP Input Sheet'!D13,IF('📋 IP Input Sheet'!E13&lt;&gt;"",'📋 IP Input Sheet'!E13,'📋 IP Input Sheet'!F13)),"[Enter IP]")</f>
        <v/>
      </c>
      <c r="G25" s="15" t="inlineStr">
        <is>
          <t>443</t>
        </is>
      </c>
      <c r="H25" s="15" t="inlineStr">
        <is>
          <t>TCP</t>
        </is>
      </c>
      <c r="I25" s="15" t="inlineStr">
        <is>
          <t>HTTPS API comms</t>
        </is>
      </c>
      <c r="J25" s="13" t="inlineStr">
        <is>
          <t>Allow</t>
        </is>
      </c>
      <c r="K25" s="14" t="inlineStr">
        <is>
          <t>Gateway FW</t>
        </is>
      </c>
      <c r="L25" s="15" t="inlineStr">
        <is>
          <t>Outbound</t>
        </is>
      </c>
      <c r="M25" s="15" t="inlineStr"/>
    </row>
    <row r="26" ht="18" customHeight="1">
      <c r="A26" s="12" t="inlineStr">
        <is>
          <t>VO-09</t>
        </is>
      </c>
      <c r="B26" s="12" t="inlineStr">
        <is>
          <t>VCF Ops → ESXi</t>
        </is>
      </c>
      <c r="C26" s="12" t="inlineStr">
        <is>
          <t>VCF Operations (VCFO)</t>
        </is>
      </c>
      <c r="D26" s="12">
        <f>IFERROR(IF('📋 IP Input Sheet'!D6&lt;&gt;"",'📋 IP Input Sheet'!D6,IF('📋 IP Input Sheet'!E6&lt;&gt;"",'📋 IP Input Sheet'!E6,'📋 IP Input Sheet'!F6)),"[Enter IP]")</f>
        <v/>
      </c>
      <c r="E26" s="12" t="inlineStr">
        <is>
          <t>ESXi Hosts (WLD)</t>
        </is>
      </c>
      <c r="F26" s="12">
        <f>IFERROR(IF('📋 IP Input Sheet'!D20&lt;&gt;"",'📋 IP Input Sheet'!D20,IF('📋 IP Input Sheet'!E20&lt;&gt;"",'📋 IP Input Sheet'!E20,'📋 IP Input Sheet'!F20)),"[Enter IP]")</f>
        <v/>
      </c>
      <c r="G26" s="12" t="inlineStr">
        <is>
          <t>443</t>
        </is>
      </c>
      <c r="H26" s="12" t="inlineStr">
        <is>
          <t>TCP</t>
        </is>
      </c>
      <c r="I26" s="12" t="inlineStr">
        <is>
          <t>Management operations</t>
        </is>
      </c>
      <c r="J26" s="13" t="inlineStr">
        <is>
          <t>Allow</t>
        </is>
      </c>
      <c r="K26" s="14" t="inlineStr">
        <is>
          <t>Gateway FW</t>
        </is>
      </c>
      <c r="L26" s="12" t="inlineStr">
        <is>
          <t>Outbound</t>
        </is>
      </c>
      <c r="M26" s="12" t="inlineStr"/>
    </row>
    <row r="27" ht="18" customHeight="1">
      <c r="A27" s="15" t="inlineStr">
        <is>
          <t>VO-10</t>
        </is>
      </c>
      <c r="B27" s="15" t="inlineStr">
        <is>
          <t>VCF Ops → NSX Manager</t>
        </is>
      </c>
      <c r="C27" s="15" t="inlineStr">
        <is>
          <t>VCF Operations (VCFO)</t>
        </is>
      </c>
      <c r="D27" s="15">
        <f>IFERROR(IF('📋 IP Input Sheet'!D6&lt;&gt;"",'📋 IP Input Sheet'!D6,IF('📋 IP Input Sheet'!E6&lt;&gt;"",'📋 IP Input Sheet'!E6,'📋 IP Input Sheet'!F6)),"[Enter IP]")</f>
        <v/>
      </c>
      <c r="E27" s="15" t="inlineStr">
        <is>
          <t>NSX Manager</t>
        </is>
      </c>
      <c r="F27" s="15">
        <f>IFERROR(IF('📋 IP Input Sheet'!D14&lt;&gt;"",'📋 IP Input Sheet'!D14,IF('📋 IP Input Sheet'!E14&lt;&gt;"",'📋 IP Input Sheet'!E14,'📋 IP Input Sheet'!F14)),"[Enter IP]")</f>
        <v/>
      </c>
      <c r="G27" s="15" t="inlineStr">
        <is>
          <t>443</t>
        </is>
      </c>
      <c r="H27" s="15" t="inlineStr">
        <is>
          <t>TCP</t>
        </is>
      </c>
      <c r="I27" s="15" t="inlineStr">
        <is>
          <t>NSX API metrics/inventory</t>
        </is>
      </c>
      <c r="J27" s="13" t="inlineStr">
        <is>
          <t>Allow</t>
        </is>
      </c>
      <c r="K27" s="14" t="inlineStr">
        <is>
          <t>Gateway FW</t>
        </is>
      </c>
      <c r="L27" s="15" t="inlineStr">
        <is>
          <t>Outbound</t>
        </is>
      </c>
      <c r="M27" s="15" t="inlineStr"/>
    </row>
    <row r="28" ht="18" customHeight="1">
      <c r="A28" s="12" t="inlineStr">
        <is>
          <t>VA-01</t>
        </is>
      </c>
      <c r="B28" s="12" t="inlineStr">
        <is>
          <t>VCF Auto → vCenter</t>
        </is>
      </c>
      <c r="C28" s="12" t="inlineStr">
        <is>
          <t>VCF Automation (VCFA)</t>
        </is>
      </c>
      <c r="D28" s="12">
        <f>IFERROR(IF('📋 IP Input Sheet'!D7&lt;&gt;"",'📋 IP Input Sheet'!D7,IF('📋 IP Input Sheet'!E7&lt;&gt;"",'📋 IP Input Sheet'!E7,'📋 IP Input Sheet'!F7)),"[Enter IP]")</f>
        <v/>
      </c>
      <c r="E28" s="12" t="inlineStr">
        <is>
          <t>vCenter Server</t>
        </is>
      </c>
      <c r="F28" s="12">
        <f>IFERROR(IF('📋 IP Input Sheet'!D13&lt;&gt;"",'📋 IP Input Sheet'!D13,IF('📋 IP Input Sheet'!E13&lt;&gt;"",'📋 IP Input Sheet'!E13,'📋 IP Input Sheet'!F13)),"[Enter IP]")</f>
        <v/>
      </c>
      <c r="G28" s="12" t="inlineStr">
        <is>
          <t>443</t>
        </is>
      </c>
      <c r="H28" s="12" t="inlineStr">
        <is>
          <t>TCP</t>
        </is>
      </c>
      <c r="I28" s="12" t="inlineStr">
        <is>
          <t>API and Web Access — mgmt+API</t>
        </is>
      </c>
      <c r="J28" s="13" t="inlineStr">
        <is>
          <t>Allow</t>
        </is>
      </c>
      <c r="K28" s="14" t="inlineStr">
        <is>
          <t>Gateway FW</t>
        </is>
      </c>
      <c r="L28" s="12" t="inlineStr">
        <is>
          <t>Bidirectional</t>
        </is>
      </c>
      <c r="M28" s="12" t="inlineStr"/>
    </row>
    <row r="29" ht="18" customHeight="1">
      <c r="A29" s="15" t="inlineStr">
        <is>
          <t>VA-02</t>
        </is>
      </c>
      <c r="B29" s="15" t="inlineStr">
        <is>
          <t>VCF Auto → ESXi (902)</t>
        </is>
      </c>
      <c r="C29" s="15" t="inlineStr">
        <is>
          <t>VCF Automation (VCFA)</t>
        </is>
      </c>
      <c r="D29" s="15">
        <f>IFERROR(IF('📋 IP Input Sheet'!D7&lt;&gt;"",'📋 IP Input Sheet'!D7,IF('📋 IP Input Sheet'!E7&lt;&gt;"",'📋 IP Input Sheet'!E7,'📋 IP Input Sheet'!F7)),"[Enter IP]")</f>
        <v/>
      </c>
      <c r="E29" s="15" t="inlineStr">
        <is>
          <t>ESXi Hosts (WLD)</t>
        </is>
      </c>
      <c r="F29" s="15">
        <f>IFERROR(IF('📋 IP Input Sheet'!D20&lt;&gt;"",'📋 IP Input Sheet'!D20,IF('📋 IP Input Sheet'!E20&lt;&gt;"",'📋 IP Input Sheet'!E20,'📋 IP Input Sheet'!F20)),"[Enter IP]")</f>
        <v/>
      </c>
      <c r="G29" s="15" t="inlineStr">
        <is>
          <t>902</t>
        </is>
      </c>
      <c r="H29" s="15" t="inlineStr">
        <is>
          <t>TCP</t>
        </is>
      </c>
      <c r="I29" s="15" t="inlineStr">
        <is>
          <t>VM Console VMRC/MKS</t>
        </is>
      </c>
      <c r="J29" s="13" t="inlineStr">
        <is>
          <t>Allow</t>
        </is>
      </c>
      <c r="K29" s="14" t="inlineStr">
        <is>
          <t>Gateway FW</t>
        </is>
      </c>
      <c r="L29" s="15" t="inlineStr">
        <is>
          <t>Outbound</t>
        </is>
      </c>
      <c r="M29" s="15" t="inlineStr"/>
    </row>
    <row r="30" ht="18" customHeight="1">
      <c r="A30" s="12" t="inlineStr">
        <is>
          <t>VA-03</t>
        </is>
      </c>
      <c r="B30" s="12" t="inlineStr">
        <is>
          <t>VCF Auto → ESXi (443)</t>
        </is>
      </c>
      <c r="C30" s="12" t="inlineStr">
        <is>
          <t>VCF Automation (VCFA)</t>
        </is>
      </c>
      <c r="D30" s="12">
        <f>IFERROR(IF('📋 IP Input Sheet'!D7&lt;&gt;"",'📋 IP Input Sheet'!D7,IF('📋 IP Input Sheet'!E7&lt;&gt;"",'📋 IP Input Sheet'!E7,'📋 IP Input Sheet'!F7)),"[Enter IP]")</f>
        <v/>
      </c>
      <c r="E30" s="12" t="inlineStr">
        <is>
          <t>ESXi Hosts (WLD)</t>
        </is>
      </c>
      <c r="F30" s="12">
        <f>IFERROR(IF('📋 IP Input Sheet'!D20&lt;&gt;"",'📋 IP Input Sheet'!D20,IF('📋 IP Input Sheet'!E20&lt;&gt;"",'📋 IP Input Sheet'!E20,'📋 IP Input Sheet'!F20)),"[Enter IP]")</f>
        <v/>
      </c>
      <c r="G30" s="12" t="inlineStr">
        <is>
          <t>443</t>
        </is>
      </c>
      <c r="H30" s="12" t="inlineStr">
        <is>
          <t>TCP</t>
        </is>
      </c>
      <c r="I30" s="12" t="inlineStr">
        <is>
          <t>Web Console</t>
        </is>
      </c>
      <c r="J30" s="13" t="inlineStr">
        <is>
          <t>Allow</t>
        </is>
      </c>
      <c r="K30" s="14" t="inlineStr">
        <is>
          <t>Gateway FW</t>
        </is>
      </c>
      <c r="L30" s="12" t="inlineStr">
        <is>
          <t>Bidirectional</t>
        </is>
      </c>
      <c r="M30" s="12" t="inlineStr"/>
    </row>
    <row r="31" ht="18" customHeight="1">
      <c r="A31" s="15" t="inlineStr">
        <is>
          <t>VA-04</t>
        </is>
      </c>
      <c r="B31" s="15" t="inlineStr">
        <is>
          <t>VCF Auto → ESXi (SSH)</t>
        </is>
      </c>
      <c r="C31" s="15" t="inlineStr">
        <is>
          <t>VCF Automation (VCFA)</t>
        </is>
      </c>
      <c r="D31" s="15">
        <f>IFERROR(IF('📋 IP Input Sheet'!D7&lt;&gt;"",'📋 IP Input Sheet'!D7,IF('📋 IP Input Sheet'!E7&lt;&gt;"",'📋 IP Input Sheet'!E7,'📋 IP Input Sheet'!F7)),"[Enter IP]")</f>
        <v/>
      </c>
      <c r="E31" s="15" t="inlineStr">
        <is>
          <t>ESXi Hosts (WLD)</t>
        </is>
      </c>
      <c r="F31" s="15">
        <f>IFERROR(IF('📋 IP Input Sheet'!D20&lt;&gt;"",'📋 IP Input Sheet'!D20,IF('📋 IP Input Sheet'!E20&lt;&gt;"",'📋 IP Input Sheet'!E20,'📋 IP Input Sheet'!F20)),"[Enter IP]")</f>
        <v/>
      </c>
      <c r="G31" s="15" t="inlineStr">
        <is>
          <t>22</t>
        </is>
      </c>
      <c r="H31" s="15" t="inlineStr">
        <is>
          <t>TCP</t>
        </is>
      </c>
      <c r="I31" s="15" t="inlineStr">
        <is>
          <t>SSH</t>
        </is>
      </c>
      <c r="J31" s="13" t="inlineStr">
        <is>
          <t>Allow</t>
        </is>
      </c>
      <c r="K31" s="14" t="inlineStr">
        <is>
          <t>Gateway FW</t>
        </is>
      </c>
      <c r="L31" s="15" t="inlineStr">
        <is>
          <t>Bidirectional</t>
        </is>
      </c>
      <c r="M31" s="15" t="inlineStr">
        <is>
          <t>Admin — restrict to jump host</t>
        </is>
      </c>
    </row>
    <row r="32" ht="18" customHeight="1">
      <c r="A32" s="12" t="inlineStr">
        <is>
          <t>VA-05</t>
        </is>
      </c>
      <c r="B32" s="12" t="inlineStr">
        <is>
          <t>VCF Auto → NSX Mgr</t>
        </is>
      </c>
      <c r="C32" s="12" t="inlineStr">
        <is>
          <t>VCF Automation (VCFA)</t>
        </is>
      </c>
      <c r="D32" s="12">
        <f>IFERROR(IF('📋 IP Input Sheet'!D7&lt;&gt;"",'📋 IP Input Sheet'!D7,IF('📋 IP Input Sheet'!E7&lt;&gt;"",'📋 IP Input Sheet'!E7,'📋 IP Input Sheet'!F7)),"[Enter IP]")</f>
        <v/>
      </c>
      <c r="E32" s="12" t="inlineStr">
        <is>
          <t>NSX Manager Cluster</t>
        </is>
      </c>
      <c r="F32" s="12">
        <f>IFERROR(IF('📋 IP Input Sheet'!D14&lt;&gt;"",'📋 IP Input Sheet'!D14,IF('📋 IP Input Sheet'!E14&lt;&gt;"",'📋 IP Input Sheet'!E14,'📋 IP Input Sheet'!F14)),"[Enter IP]")</f>
        <v/>
      </c>
      <c r="G32" s="12" t="inlineStr">
        <is>
          <t>443</t>
        </is>
      </c>
      <c r="H32" s="12" t="inlineStr">
        <is>
          <t>TCP</t>
        </is>
      </c>
      <c r="I32" s="12" t="inlineStr">
        <is>
          <t>NSX Manager API HTTPS — policy provisioning</t>
        </is>
      </c>
      <c r="J32" s="13" t="inlineStr">
        <is>
          <t>Allow</t>
        </is>
      </c>
      <c r="K32" s="14" t="inlineStr">
        <is>
          <t>Gateway FW</t>
        </is>
      </c>
      <c r="L32" s="12" t="inlineStr">
        <is>
          <t>Bidirectional</t>
        </is>
      </c>
      <c r="M32" s="12" t="inlineStr"/>
    </row>
    <row r="33" ht="18" customHeight="1">
      <c r="A33" s="15" t="inlineStr">
        <is>
          <t>VA-06</t>
        </is>
      </c>
      <c r="B33" s="15" t="inlineStr">
        <is>
          <t>VCF Auto → Supervisor VIP (443)</t>
        </is>
      </c>
      <c r="C33" s="15" t="inlineStr">
        <is>
          <t>VCF Automation (VCFA)</t>
        </is>
      </c>
      <c r="D33" s="15">
        <f>IFERROR(IF('📋 IP Input Sheet'!D7&lt;&gt;"",'📋 IP Input Sheet'!D7,IF('📋 IP Input Sheet'!E7&lt;&gt;"",'📋 IP Input Sheet'!E7,'📋 IP Input Sheet'!F7)),"[Enter IP]")</f>
        <v/>
      </c>
      <c r="E33" s="15" t="inlineStr">
        <is>
          <t>Supervisor Control Plane VIP</t>
        </is>
      </c>
      <c r="F33" s="15">
        <f>IFERROR(IF('📋 IP Input Sheet'!D21&lt;&gt;"",'📋 IP Input Sheet'!D21,IF('📋 IP Input Sheet'!E21&lt;&gt;"",'📋 IP Input Sheet'!E21,'📋 IP Input Sheet'!F21)),"[Enter IP]")</f>
        <v/>
      </c>
      <c r="G33" s="15" t="inlineStr">
        <is>
          <t>443</t>
        </is>
      </c>
      <c r="H33" s="15" t="inlineStr">
        <is>
          <t>TCP</t>
        </is>
      </c>
      <c r="I33" s="15" t="inlineStr">
        <is>
          <t>vSphere Supervisor API via LB</t>
        </is>
      </c>
      <c r="J33" s="13" t="inlineStr">
        <is>
          <t>Allow</t>
        </is>
      </c>
      <c r="K33" s="14" t="inlineStr">
        <is>
          <t>Gateway FW</t>
        </is>
      </c>
      <c r="L33" s="15" t="inlineStr">
        <is>
          <t>Outbound</t>
        </is>
      </c>
      <c r="M33" s="15" t="inlineStr"/>
    </row>
    <row r="34" ht="18" customHeight="1">
      <c r="A34" s="12" t="inlineStr">
        <is>
          <t>VA-07</t>
        </is>
      </c>
      <c r="B34" s="12" t="inlineStr">
        <is>
          <t>VCF Auto → Supervisor VIP (6443)</t>
        </is>
      </c>
      <c r="C34" s="12" t="inlineStr">
        <is>
          <t>VCF Automation (VCFA)</t>
        </is>
      </c>
      <c r="D34" s="12">
        <f>IFERROR(IF('📋 IP Input Sheet'!D7&lt;&gt;"",'📋 IP Input Sheet'!D7,IF('📋 IP Input Sheet'!E7&lt;&gt;"",'📋 IP Input Sheet'!E7,'📋 IP Input Sheet'!F7)),"[Enter IP]")</f>
        <v/>
      </c>
      <c r="E34" s="12" t="inlineStr">
        <is>
          <t>Supervisor Control Plane VIP</t>
        </is>
      </c>
      <c r="F34" s="12">
        <f>IFERROR(IF('📋 IP Input Sheet'!D21&lt;&gt;"",'📋 IP Input Sheet'!D21,IF('📋 IP Input Sheet'!E21&lt;&gt;"",'📋 IP Input Sheet'!E21,'📋 IP Input Sheet'!F21)),"[Enter IP]")</f>
        <v/>
      </c>
      <c r="G34" s="12" t="inlineStr">
        <is>
          <t>6443</t>
        </is>
      </c>
      <c r="H34" s="12" t="inlineStr">
        <is>
          <t>TCP</t>
        </is>
      </c>
      <c r="I34" s="12" t="inlineStr">
        <is>
          <t>Kubernetes API server</t>
        </is>
      </c>
      <c r="J34" s="13" t="inlineStr">
        <is>
          <t>Allow</t>
        </is>
      </c>
      <c r="K34" s="14" t="inlineStr">
        <is>
          <t>Gateway FW</t>
        </is>
      </c>
      <c r="L34" s="12" t="inlineStr">
        <is>
          <t>Outbound</t>
        </is>
      </c>
      <c r="M34" s="12" t="inlineStr"/>
    </row>
    <row r="35" ht="18" customHeight="1">
      <c r="A35" s="15" t="inlineStr">
        <is>
          <t>VN-01</t>
        </is>
      </c>
      <c r="B35" s="15" t="inlineStr">
        <is>
          <t>VON → vCenter (IPFIX)</t>
        </is>
      </c>
      <c r="C35" s="15" t="inlineStr">
        <is>
          <t>VCF Ops for Networks (VON)</t>
        </is>
      </c>
      <c r="D35" s="15">
        <f>IFERROR(IF('📋 IP Input Sheet'!D9&lt;&gt;"",'📋 IP Input Sheet'!D9,IF('📋 IP Input Sheet'!E9&lt;&gt;"",'📋 IP Input Sheet'!E9,'📋 IP Input Sheet'!F9)),"[Enter IP]")</f>
        <v/>
      </c>
      <c r="E35" s="15" t="inlineStr">
        <is>
          <t>vCenter Server</t>
        </is>
      </c>
      <c r="F35" s="15">
        <f>IFERROR(IF('📋 IP Input Sheet'!D13&lt;&gt;"",'📋 IP Input Sheet'!D13,IF('📋 IP Input Sheet'!E13&lt;&gt;"",'📋 IP Input Sheet'!E13,'📋 IP Input Sheet'!F13)),"[Enter IP]")</f>
        <v/>
      </c>
      <c r="G35" s="15" t="inlineStr">
        <is>
          <t>2055</t>
        </is>
      </c>
      <c r="H35" s="15" t="inlineStr">
        <is>
          <t>TCP</t>
        </is>
      </c>
      <c r="I35" s="15" t="inlineStr">
        <is>
          <t>IPFIX (deprecated → use 4739)</t>
        </is>
      </c>
      <c r="J35" s="13" t="inlineStr">
        <is>
          <t>Allow</t>
        </is>
      </c>
      <c r="K35" s="14" t="inlineStr">
        <is>
          <t>Gateway FW</t>
        </is>
      </c>
      <c r="L35" s="15" t="inlineStr">
        <is>
          <t>Outbound</t>
        </is>
      </c>
      <c r="M35" s="15" t="inlineStr">
        <is>
          <t>Port 2055 deprecated</t>
        </is>
      </c>
    </row>
    <row r="36" ht="18" customHeight="1">
      <c r="A36" s="12" t="inlineStr">
        <is>
          <t>VN-02</t>
        </is>
      </c>
      <c r="B36" s="12" t="inlineStr">
        <is>
          <t>VON → ESXi (IPFIX)</t>
        </is>
      </c>
      <c r="C36" s="12" t="inlineStr">
        <is>
          <t>VCF Ops for Networks (VON)</t>
        </is>
      </c>
      <c r="D36" s="12">
        <f>IFERROR(IF('📋 IP Input Sheet'!D9&lt;&gt;"",'📋 IP Input Sheet'!D9,IF('📋 IP Input Sheet'!E9&lt;&gt;"",'📋 IP Input Sheet'!E9,'📋 IP Input Sheet'!F9)),"[Enter IP]")</f>
        <v/>
      </c>
      <c r="E36" s="12" t="inlineStr">
        <is>
          <t>ESXi Hosts (WLD)</t>
        </is>
      </c>
      <c r="F36" s="12">
        <f>IFERROR(IF('📋 IP Input Sheet'!D20&lt;&gt;"",'📋 IP Input Sheet'!D20,IF('📋 IP Input Sheet'!E20&lt;&gt;"",'📋 IP Input Sheet'!E20,'📋 IP Input Sheet'!F20)),"[Enter IP]")</f>
        <v/>
      </c>
      <c r="G36" s="12" t="inlineStr">
        <is>
          <t>4739</t>
        </is>
      </c>
      <c r="H36" s="12" t="inlineStr">
        <is>
          <t>TCP/UDP</t>
        </is>
      </c>
      <c r="I36" s="12" t="inlineStr">
        <is>
          <t>IPFIX + NETFLOW export</t>
        </is>
      </c>
      <c r="J36" s="13" t="inlineStr">
        <is>
          <t>Allow</t>
        </is>
      </c>
      <c r="K36" s="14" t="inlineStr">
        <is>
          <t>Gateway FW</t>
        </is>
      </c>
      <c r="L36" s="12" t="inlineStr">
        <is>
          <t>Outbound</t>
        </is>
      </c>
      <c r="M36" s="12" t="inlineStr"/>
    </row>
    <row r="37" ht="18" customHeight="1">
      <c r="A37" s="15" t="inlineStr">
        <is>
          <t>VN-03</t>
        </is>
      </c>
      <c r="B37" s="15" t="inlineStr">
        <is>
          <t>VON → NSX Manager</t>
        </is>
      </c>
      <c r="C37" s="15" t="inlineStr">
        <is>
          <t>VCF Ops for Networks (VON)</t>
        </is>
      </c>
      <c r="D37" s="15">
        <f>IFERROR(IF('📋 IP Input Sheet'!D9&lt;&gt;"",'📋 IP Input Sheet'!D9,IF('📋 IP Input Sheet'!E9&lt;&gt;"",'📋 IP Input Sheet'!E9,'📋 IP Input Sheet'!F9)),"[Enter IP]")</f>
        <v/>
      </c>
      <c r="E37" s="15" t="inlineStr">
        <is>
          <t>NSX Manager</t>
        </is>
      </c>
      <c r="F37" s="15">
        <f>IFERROR(IF('📋 IP Input Sheet'!D14&lt;&gt;"",'📋 IP Input Sheet'!D14,IF('📋 IP Input Sheet'!E14&lt;&gt;"",'📋 IP Input Sheet'!E14,'📋 IP Input Sheet'!F14)),"[Enter IP]")</f>
        <v/>
      </c>
      <c r="G37" s="15" t="inlineStr">
        <is>
          <t>443</t>
        </is>
      </c>
      <c r="H37" s="15" t="inlineStr">
        <is>
          <t>TCP</t>
        </is>
      </c>
      <c r="I37" s="15" t="inlineStr">
        <is>
          <t>HTTPS NSX API — inventory+config+events</t>
        </is>
      </c>
      <c r="J37" s="13" t="inlineStr">
        <is>
          <t>Allow</t>
        </is>
      </c>
      <c r="K37" s="14" t="inlineStr">
        <is>
          <t>Gateway FW</t>
        </is>
      </c>
      <c r="L37" s="15" t="inlineStr">
        <is>
          <t>Outbound</t>
        </is>
      </c>
      <c r="M37" s="15" t="inlineStr"/>
    </row>
    <row r="38" ht="18" customHeight="1">
      <c r="A38" s="12" t="inlineStr">
        <is>
          <t>VN-04</t>
        </is>
      </c>
      <c r="B38" s="12" t="inlineStr">
        <is>
          <t>VON → DNS</t>
        </is>
      </c>
      <c r="C38" s="12" t="inlineStr">
        <is>
          <t>VCF Ops for Networks (VON)</t>
        </is>
      </c>
      <c r="D38" s="12">
        <f>IFERROR(IF('📋 IP Input Sheet'!D9&lt;&gt;"",'📋 IP Input Sheet'!D9,IF('📋 IP Input Sheet'!E9&lt;&gt;"",'📋 IP Input Sheet'!E9,'📋 IP Input Sheet'!F9)),"[Enter IP]")</f>
        <v/>
      </c>
      <c r="E38" s="12" t="inlineStr">
        <is>
          <t>DNS Server</t>
        </is>
      </c>
      <c r="F38" s="12">
        <f>'📋 IP Input Sheet'!D24</f>
        <v/>
      </c>
      <c r="G38" s="12" t="inlineStr">
        <is>
          <t>53</t>
        </is>
      </c>
      <c r="H38" s="12" t="inlineStr">
        <is>
          <t>TCP</t>
        </is>
      </c>
      <c r="I38" s="12" t="inlineStr">
        <is>
          <t>DNS name resolution</t>
        </is>
      </c>
      <c r="J38" s="13" t="inlineStr">
        <is>
          <t>Allow</t>
        </is>
      </c>
      <c r="K38" s="14" t="inlineStr">
        <is>
          <t>Gateway FW</t>
        </is>
      </c>
      <c r="L38" s="12" t="inlineStr">
        <is>
          <t>Outbound</t>
        </is>
      </c>
      <c r="M38" s="12" t="inlineStr"/>
    </row>
    <row r="39" ht="18" customHeight="1">
      <c r="A39" s="15" t="inlineStr">
        <is>
          <t>VN-05</t>
        </is>
      </c>
      <c r="B39" s="15" t="inlineStr">
        <is>
          <t>VON → NTP</t>
        </is>
      </c>
      <c r="C39" s="15" t="inlineStr">
        <is>
          <t>VCF Ops for Networks (VON)</t>
        </is>
      </c>
      <c r="D39" s="15">
        <f>IFERROR(IF('📋 IP Input Sheet'!D9&lt;&gt;"",'📋 IP Input Sheet'!D9,IF('📋 IP Input Sheet'!E9&lt;&gt;"",'📋 IP Input Sheet'!E9,'📋 IP Input Sheet'!F9)),"[Enter IP]")</f>
        <v/>
      </c>
      <c r="E39" s="15" t="inlineStr">
        <is>
          <t>NTP Server</t>
        </is>
      </c>
      <c r="F39" s="15">
        <f>'📋 IP Input Sheet'!D25</f>
        <v/>
      </c>
      <c r="G39" s="15" t="inlineStr">
        <is>
          <t>123</t>
        </is>
      </c>
      <c r="H39" s="15" t="inlineStr">
        <is>
          <t>UDP</t>
        </is>
      </c>
      <c r="I39" s="15" t="inlineStr">
        <is>
          <t>Time server</t>
        </is>
      </c>
      <c r="J39" s="13" t="inlineStr">
        <is>
          <t>Allow</t>
        </is>
      </c>
      <c r="K39" s="14" t="inlineStr">
        <is>
          <t>Gateway FW</t>
        </is>
      </c>
      <c r="L39" s="15" t="inlineStr">
        <is>
          <t>Outbound</t>
        </is>
      </c>
      <c r="M39" s="15" t="inlineStr"/>
    </row>
    <row r="40" ht="18" customHeight="1">
      <c r="A40" s="12" t="inlineStr">
        <is>
          <t>VN-06</t>
        </is>
      </c>
      <c r="B40" s="12" t="inlineStr">
        <is>
          <t>VON → Switches (SNMP)</t>
        </is>
      </c>
      <c r="C40" s="12" t="inlineStr">
        <is>
          <t>VCF Ops for Networks (VON)</t>
        </is>
      </c>
      <c r="D40" s="12">
        <f>IFERROR(IF('📋 IP Input Sheet'!D9&lt;&gt;"",'📋 IP Input Sheet'!D9,IF('📋 IP Input Sheet'!E9&lt;&gt;"",'📋 IP Input Sheet'!E9,'📋 IP Input Sheet'!F9)),"[Enter IP]")</f>
        <v/>
      </c>
      <c r="E40" s="12" t="inlineStr">
        <is>
          <t>Multi-Vendor Switches/Routers</t>
        </is>
      </c>
      <c r="F40" s="12" t="inlineStr">
        <is>
          <t>[Enter IP]</t>
        </is>
      </c>
      <c r="G40" s="12" t="inlineStr">
        <is>
          <t>161</t>
        </is>
      </c>
      <c r="H40" s="12" t="inlineStr">
        <is>
          <t>TCP</t>
        </is>
      </c>
      <c r="I40" s="12" t="inlineStr">
        <is>
          <t>SNMP Polling</t>
        </is>
      </c>
      <c r="J40" s="13" t="inlineStr">
        <is>
          <t>Allow</t>
        </is>
      </c>
      <c r="K40" s="14" t="inlineStr">
        <is>
          <t>Gateway FW</t>
        </is>
      </c>
      <c r="L40" s="12" t="inlineStr">
        <is>
          <t>Outbound</t>
        </is>
      </c>
      <c r="M40" s="12" t="inlineStr">
        <is>
          <t>Confirm physical device IPs with network team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M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28" customWidth="1" min="3" max="3"/>
    <col width="24" customWidth="1" min="4" max="4"/>
    <col width="28" customWidth="1" min="5" max="5"/>
    <col width="24" customWidth="1" min="6" max="6"/>
    <col width="12" customWidth="1" min="7" max="7"/>
    <col width="10" customWidth="1" min="8" max="8"/>
    <col width="34" customWidth="1" min="9" max="9"/>
    <col width="8" customWidth="1" min="10" max="10"/>
    <col width="14" customWidth="1" min="11" max="11"/>
    <col width="14" customWidth="1" min="12" max="12"/>
    <col width="38" customWidth="1" min="13" max="13"/>
  </cols>
  <sheetData>
    <row r="1" ht="28" customHeight="1">
      <c r="A1" s="11" t="inlineStr">
        <is>
          <t>AES-220  |  Firewall Rules  |  Management Domain &amp; WLD ESXi → Fleet</t>
        </is>
      </c>
    </row>
    <row r="2" ht="18" customHeight="1">
      <c r="A2" s="2" t="inlineStr">
        <is>
          <t>Source IP and Destination IP auto-populate from '📋 IP Input Sheet'.  Fill in IPs there first.</t>
        </is>
      </c>
    </row>
    <row r="3" ht="28" customHeight="1">
      <c r="A3" s="3" t="inlineStr">
        <is>
          <t>#</t>
        </is>
      </c>
      <c r="B3" s="3" t="inlineStr">
        <is>
          <t>Rule Name</t>
        </is>
      </c>
      <c r="C3" s="3" t="inlineStr">
        <is>
          <t>Source Component</t>
        </is>
      </c>
      <c r="D3" s="3" t="inlineStr">
        <is>
          <t>Source IP / Subnet</t>
        </is>
      </c>
      <c r="E3" s="3" t="inlineStr">
        <is>
          <t>Destination Component</t>
        </is>
      </c>
      <c r="F3" s="3" t="inlineStr">
        <is>
          <t>Destination IP / Subnet</t>
        </is>
      </c>
      <c r="G3" s="3" t="inlineStr">
        <is>
          <t>Port</t>
        </is>
      </c>
      <c r="H3" s="3" t="inlineStr">
        <is>
          <t>Protocol</t>
        </is>
      </c>
      <c r="I3" s="3" t="inlineStr">
        <is>
          <t>Service / Application</t>
        </is>
      </c>
      <c r="J3" s="3" t="inlineStr">
        <is>
          <t>Action</t>
        </is>
      </c>
      <c r="K3" s="3" t="inlineStr">
        <is>
          <t>Firewall Type</t>
        </is>
      </c>
      <c r="L3" s="3" t="inlineStr">
        <is>
          <t>Flow Direction</t>
        </is>
      </c>
      <c r="M3" s="3" t="inlineStr">
        <is>
          <t>Notes</t>
        </is>
      </c>
    </row>
    <row r="4" ht="18" customHeight="1">
      <c r="A4" s="12" t="inlineStr">
        <is>
          <t>MF-01</t>
        </is>
      </c>
      <c r="B4" s="12" t="inlineStr">
        <is>
          <t>vCenter → Fleet Mgr (HTTPS)</t>
        </is>
      </c>
      <c r="C4" s="12" t="inlineStr">
        <is>
          <t>vCenter Server</t>
        </is>
      </c>
      <c r="D4" s="12">
        <f>IFERROR(IF('📋 IP Input Sheet'!D13&lt;&gt;"",'📋 IP Input Sheet'!D13,IF('📋 IP Input Sheet'!E13&lt;&gt;"",'📋 IP Input Sheet'!E13,'📋 IP Input Sheet'!F13)),"[Enter IP]")</f>
        <v/>
      </c>
      <c r="E4" s="12" t="inlineStr">
        <is>
          <t>VCF Ops Fleet Manager</t>
        </is>
      </c>
      <c r="F4" s="12">
        <f>IFERROR(IF('📋 IP Input Sheet'!D5&lt;&gt;"",'📋 IP Input Sheet'!D5,IF('📋 IP Input Sheet'!E5&lt;&gt;"",'📋 IP Input Sheet'!E5,'📋 IP Input Sheet'!F5)),"[Enter IP]")</f>
        <v/>
      </c>
      <c r="G4" s="12" t="inlineStr">
        <is>
          <t>443</t>
        </is>
      </c>
      <c r="H4" s="12" t="inlineStr">
        <is>
          <t>TCP</t>
        </is>
      </c>
      <c r="I4" s="12" t="inlineStr">
        <is>
          <t>Core APIs/HTTPS lifecycle+orchestration</t>
        </is>
      </c>
      <c r="J4" s="13" t="inlineStr">
        <is>
          <t>Allow</t>
        </is>
      </c>
      <c r="K4" s="14" t="inlineStr">
        <is>
          <t>Gateway FW</t>
        </is>
      </c>
      <c r="L4" s="12" t="inlineStr">
        <is>
          <t>Outbound</t>
        </is>
      </c>
      <c r="M4" s="12" t="inlineStr">
        <is>
          <t>Ticket req #4 — Mgmt→Fleet</t>
        </is>
      </c>
    </row>
    <row r="5" ht="18" customHeight="1">
      <c r="A5" s="15" t="inlineStr">
        <is>
          <t>MF-02</t>
        </is>
      </c>
      <c r="B5" s="15" t="inlineStr">
        <is>
          <t>vCenter → VCFO (API)</t>
        </is>
      </c>
      <c r="C5" s="15" t="inlineStr">
        <is>
          <t>vCenter Server</t>
        </is>
      </c>
      <c r="D5" s="15">
        <f>IFERROR(IF('📋 IP Input Sheet'!D13&lt;&gt;"",'📋 IP Input Sheet'!D13,IF('📋 IP Input Sheet'!E13&lt;&gt;"",'📋 IP Input Sheet'!E13,'📋 IP Input Sheet'!F13)),"[Enter IP]")</f>
        <v/>
      </c>
      <c r="E5" s="15" t="inlineStr">
        <is>
          <t>VCF Operations (VCFO)</t>
        </is>
      </c>
      <c r="F5" s="15">
        <f>IFERROR(IF('📋 IP Input Sheet'!D6&lt;&gt;"",'📋 IP Input Sheet'!D6,IF('📋 IP Input Sheet'!E6&lt;&gt;"",'📋 IP Input Sheet'!E6,'📋 IP Input Sheet'!F6)),"[Enter IP]")</f>
        <v/>
      </c>
      <c r="G5" s="15" t="inlineStr">
        <is>
          <t>443</t>
        </is>
      </c>
      <c r="H5" s="15" t="inlineStr">
        <is>
          <t>TCP</t>
        </is>
      </c>
      <c r="I5" s="15" t="inlineStr">
        <is>
          <t>API comms bidirectional</t>
        </is>
      </c>
      <c r="J5" s="13" t="inlineStr">
        <is>
          <t>Allow</t>
        </is>
      </c>
      <c r="K5" s="14" t="inlineStr">
        <is>
          <t>Gateway FW</t>
        </is>
      </c>
      <c r="L5" s="15" t="inlineStr">
        <is>
          <t>Bidirectional</t>
        </is>
      </c>
      <c r="M5" s="15" t="inlineStr"/>
    </row>
    <row r="6" ht="18" customHeight="1">
      <c r="A6" s="12" t="inlineStr">
        <is>
          <t>MF-03</t>
        </is>
      </c>
      <c r="B6" s="12" t="inlineStr">
        <is>
          <t>vCenter → VCFO (node mgr)</t>
        </is>
      </c>
      <c r="C6" s="12" t="inlineStr">
        <is>
          <t>vCenter Server</t>
        </is>
      </c>
      <c r="D6" s="12">
        <f>IFERROR(IF('📋 IP Input Sheet'!D13&lt;&gt;"",'📋 IP Input Sheet'!D13,IF('📋 IP Input Sheet'!E13&lt;&gt;"",'📋 IP Input Sheet'!E13,'📋 IP Input Sheet'!F13)),"[Enter IP]")</f>
        <v/>
      </c>
      <c r="E6" s="12" t="inlineStr">
        <is>
          <t>VCF Operations (VCFO)</t>
        </is>
      </c>
      <c r="F6" s="12">
        <f>IFERROR(IF('📋 IP Input Sheet'!D6&lt;&gt;"",'📋 IP Input Sheet'!D6,IF('📋 IP Input Sheet'!E6&lt;&gt;"",'📋 IP Input Sheet'!E6,'📋 IP Input Sheet'!F6)),"[Enter IP]")</f>
        <v/>
      </c>
      <c r="G6" s="12" t="inlineStr">
        <is>
          <t>8443</t>
        </is>
      </c>
      <c r="H6" s="12" t="inlineStr">
        <is>
          <t>TCP</t>
        </is>
      </c>
      <c r="I6" s="12" t="inlineStr">
        <is>
          <t>Node Manager</t>
        </is>
      </c>
      <c r="J6" s="13" t="inlineStr">
        <is>
          <t>Allow</t>
        </is>
      </c>
      <c r="K6" s="14" t="inlineStr">
        <is>
          <t>Gateway FW</t>
        </is>
      </c>
      <c r="L6" s="12" t="inlineStr">
        <is>
          <t>Outbound</t>
        </is>
      </c>
      <c r="M6" s="12" t="inlineStr"/>
    </row>
    <row r="7" ht="18" customHeight="1">
      <c r="A7" s="15" t="inlineStr">
        <is>
          <t>MF-04</t>
        </is>
      </c>
      <c r="B7" s="15" t="inlineStr">
        <is>
          <t>vCenter → VCFA (API)</t>
        </is>
      </c>
      <c r="C7" s="15" t="inlineStr">
        <is>
          <t>vCenter Server</t>
        </is>
      </c>
      <c r="D7" s="15">
        <f>IFERROR(IF('📋 IP Input Sheet'!D13&lt;&gt;"",'📋 IP Input Sheet'!D13,IF('📋 IP Input Sheet'!E13&lt;&gt;"",'📋 IP Input Sheet'!E13,'📋 IP Input Sheet'!F13)),"[Enter IP]")</f>
        <v/>
      </c>
      <c r="E7" s="15" t="inlineStr">
        <is>
          <t>VCF Automation (VCFA)</t>
        </is>
      </c>
      <c r="F7" s="15">
        <f>IFERROR(IF('📋 IP Input Sheet'!D7&lt;&gt;"",'📋 IP Input Sheet'!D7,IF('📋 IP Input Sheet'!E7&lt;&gt;"",'📋 IP Input Sheet'!E7,'📋 IP Input Sheet'!F7)),"[Enter IP]")</f>
        <v/>
      </c>
      <c r="G7" s="15" t="inlineStr">
        <is>
          <t>443</t>
        </is>
      </c>
      <c r="H7" s="15" t="inlineStr">
        <is>
          <t>TCP</t>
        </is>
      </c>
      <c r="I7" s="15" t="inlineStr">
        <is>
          <t>API bidirectional</t>
        </is>
      </c>
      <c r="J7" s="13" t="inlineStr">
        <is>
          <t>Allow</t>
        </is>
      </c>
      <c r="K7" s="14" t="inlineStr">
        <is>
          <t>Gateway FW</t>
        </is>
      </c>
      <c r="L7" s="15" t="inlineStr">
        <is>
          <t>Bidirectional</t>
        </is>
      </c>
      <c r="M7" s="15" t="inlineStr"/>
    </row>
    <row r="8" ht="18" customHeight="1">
      <c r="A8" s="12" t="inlineStr">
        <is>
          <t>MF-05</t>
        </is>
      </c>
      <c r="B8" s="12" t="inlineStr">
        <is>
          <t>vCenter → VOL (syslog)</t>
        </is>
      </c>
      <c r="C8" s="12" t="inlineStr">
        <is>
          <t>vCenter Server</t>
        </is>
      </c>
      <c r="D8" s="12">
        <f>IFERROR(IF('📋 IP Input Sheet'!D13&lt;&gt;"",'📋 IP Input Sheet'!D13,IF('📋 IP Input Sheet'!E13&lt;&gt;"",'📋 IP Input Sheet'!E13,'📋 IP Input Sheet'!F13)),"[Enter IP]")</f>
        <v/>
      </c>
      <c r="E8" s="12" t="inlineStr">
        <is>
          <t>VCF Operations for Logs</t>
        </is>
      </c>
      <c r="F8" s="12">
        <f>IFERROR(IF('📋 IP Input Sheet'!D8&lt;&gt;"",'📋 IP Input Sheet'!D8,IF('📋 IP Input Sheet'!E8&lt;&gt;"",'📋 IP Input Sheet'!E8,'📋 IP Input Sheet'!F8)),"[Enter IP]")</f>
        <v/>
      </c>
      <c r="G8" s="12" t="inlineStr">
        <is>
          <t>514</t>
        </is>
      </c>
      <c r="H8" s="12" t="inlineStr">
        <is>
          <t>TCP/UDP</t>
        </is>
      </c>
      <c r="I8" s="12" t="inlineStr">
        <is>
          <t>Syslog remote logging</t>
        </is>
      </c>
      <c r="J8" s="13" t="inlineStr">
        <is>
          <t>Allow</t>
        </is>
      </c>
      <c r="K8" s="14" t="inlineStr">
        <is>
          <t>Gateway FW</t>
        </is>
      </c>
      <c r="L8" s="12" t="inlineStr">
        <is>
          <t>Outbound</t>
        </is>
      </c>
      <c r="M8" s="12" t="inlineStr"/>
    </row>
    <row r="9" ht="18" customHeight="1">
      <c r="A9" s="15" t="inlineStr">
        <is>
          <t>MF-06</t>
        </is>
      </c>
      <c r="B9" s="15" t="inlineStr">
        <is>
          <t>vCenter → VOL (syslog TLS)</t>
        </is>
      </c>
      <c r="C9" s="15" t="inlineStr">
        <is>
          <t>vCenter Server</t>
        </is>
      </c>
      <c r="D9" s="15">
        <f>IFERROR(IF('📋 IP Input Sheet'!D13&lt;&gt;"",'📋 IP Input Sheet'!D13,IF('📋 IP Input Sheet'!E13&lt;&gt;"",'📋 IP Input Sheet'!E13,'📋 IP Input Sheet'!F13)),"[Enter IP]")</f>
        <v/>
      </c>
      <c r="E9" s="15" t="inlineStr">
        <is>
          <t>VCF Operations for Logs</t>
        </is>
      </c>
      <c r="F9" s="15">
        <f>IFERROR(IF('📋 IP Input Sheet'!D8&lt;&gt;"",'📋 IP Input Sheet'!D8,IF('📋 IP Input Sheet'!E8&lt;&gt;"",'📋 IP Input Sheet'!E8,'📋 IP Input Sheet'!F8)),"[Enter IP]")</f>
        <v/>
      </c>
      <c r="G9" s="15" t="inlineStr">
        <is>
          <t>1514</t>
        </is>
      </c>
      <c r="H9" s="15" t="inlineStr">
        <is>
          <t>TCP</t>
        </is>
      </c>
      <c r="I9" s="15" t="inlineStr">
        <is>
          <t>Syslog over TLS</t>
        </is>
      </c>
      <c r="J9" s="13" t="inlineStr">
        <is>
          <t>Allow</t>
        </is>
      </c>
      <c r="K9" s="14" t="inlineStr">
        <is>
          <t>Gateway FW</t>
        </is>
      </c>
      <c r="L9" s="15" t="inlineStr">
        <is>
          <t>Outbound</t>
        </is>
      </c>
      <c r="M9" s="15" t="inlineStr"/>
    </row>
    <row r="10" ht="18" customHeight="1">
      <c r="A10" s="12" t="inlineStr">
        <is>
          <t>MF-07</t>
        </is>
      </c>
      <c r="B10" s="12" t="inlineStr">
        <is>
          <t>vCenter → VON (IPFIX)</t>
        </is>
      </c>
      <c r="C10" s="12" t="inlineStr">
        <is>
          <t>vCenter Server</t>
        </is>
      </c>
      <c r="D10" s="12">
        <f>IFERROR(IF('📋 IP Input Sheet'!D13&lt;&gt;"",'📋 IP Input Sheet'!D13,IF('📋 IP Input Sheet'!E13&lt;&gt;"",'📋 IP Input Sheet'!E13,'📋 IP Input Sheet'!F13)),"[Enter IP]")</f>
        <v/>
      </c>
      <c r="E10" s="12" t="inlineStr">
        <is>
          <t>VCF Ops for Networks</t>
        </is>
      </c>
      <c r="F10" s="12">
        <f>IFERROR(IF('📋 IP Input Sheet'!D9&lt;&gt;"",'📋 IP Input Sheet'!D9,IF('📋 IP Input Sheet'!E9&lt;&gt;"",'📋 IP Input Sheet'!E9,'📋 IP Input Sheet'!F9)),"[Enter IP]")</f>
        <v/>
      </c>
      <c r="G10" s="12" t="inlineStr">
        <is>
          <t>2055</t>
        </is>
      </c>
      <c r="H10" s="12" t="inlineStr">
        <is>
          <t>UDP</t>
        </is>
      </c>
      <c r="I10" s="12" t="inlineStr">
        <is>
          <t>IPFIX flow data vDS→NSX</t>
        </is>
      </c>
      <c r="J10" s="13" t="inlineStr">
        <is>
          <t>Allow</t>
        </is>
      </c>
      <c r="K10" s="14" t="inlineStr">
        <is>
          <t>Gateway FW</t>
        </is>
      </c>
      <c r="L10" s="12" t="inlineStr">
        <is>
          <t>Outbound</t>
        </is>
      </c>
      <c r="M10" s="12" t="inlineStr">
        <is>
          <t>vDS distributed switches send IPFIX</t>
        </is>
      </c>
    </row>
    <row r="11" ht="18" customHeight="1">
      <c r="A11" s="15" t="inlineStr">
        <is>
          <t>MF-08</t>
        </is>
      </c>
      <c r="B11" s="15" t="inlineStr">
        <is>
          <t>NSX Manager → VCFO (API)</t>
        </is>
      </c>
      <c r="C11" s="15" t="inlineStr">
        <is>
          <t>NSX Manager</t>
        </is>
      </c>
      <c r="D11" s="15">
        <f>IFERROR(IF('📋 IP Input Sheet'!D14&lt;&gt;"",'📋 IP Input Sheet'!D14,IF('📋 IP Input Sheet'!E14&lt;&gt;"",'📋 IP Input Sheet'!E14,'📋 IP Input Sheet'!F14)),"[Enter IP]")</f>
        <v/>
      </c>
      <c r="E11" s="15" t="inlineStr">
        <is>
          <t>VCF Operations (VCFO)</t>
        </is>
      </c>
      <c r="F11" s="15">
        <f>IFERROR(IF('📋 IP Input Sheet'!D6&lt;&gt;"",'📋 IP Input Sheet'!D6,IF('📋 IP Input Sheet'!E6&lt;&gt;"",'📋 IP Input Sheet'!E6,'📋 IP Input Sheet'!F6)),"[Enter IP]")</f>
        <v/>
      </c>
      <c r="G11" s="15" t="inlineStr">
        <is>
          <t>443</t>
        </is>
      </c>
      <c r="H11" s="15" t="inlineStr">
        <is>
          <t>TCP</t>
        </is>
      </c>
      <c r="I11" s="15" t="inlineStr">
        <is>
          <t>API/inventory collection</t>
        </is>
      </c>
      <c r="J11" s="13" t="inlineStr">
        <is>
          <t>Allow</t>
        </is>
      </c>
      <c r="K11" s="14" t="inlineStr">
        <is>
          <t>Gateway FW</t>
        </is>
      </c>
      <c r="L11" s="15" t="inlineStr">
        <is>
          <t>Outbound</t>
        </is>
      </c>
      <c r="M11" s="15" t="inlineStr"/>
    </row>
    <row r="12" ht="18" customHeight="1">
      <c r="A12" s="12" t="inlineStr">
        <is>
          <t>MF-09</t>
        </is>
      </c>
      <c r="B12" s="12" t="inlineStr">
        <is>
          <t>NSX Mgr → VOL (syslog)</t>
        </is>
      </c>
      <c r="C12" s="12" t="inlineStr">
        <is>
          <t>NSX Manager</t>
        </is>
      </c>
      <c r="D12" s="12">
        <f>IFERROR(IF('📋 IP Input Sheet'!D14&lt;&gt;"",'📋 IP Input Sheet'!D14,IF('📋 IP Input Sheet'!E14&lt;&gt;"",'📋 IP Input Sheet'!E14,'📋 IP Input Sheet'!F14)),"[Enter IP]")</f>
        <v/>
      </c>
      <c r="E12" s="12" t="inlineStr">
        <is>
          <t>VCF Operations for Logs</t>
        </is>
      </c>
      <c r="F12" s="12">
        <f>IFERROR(IF('📋 IP Input Sheet'!D8&lt;&gt;"",'📋 IP Input Sheet'!D8,IF('📋 IP Input Sheet'!E8&lt;&gt;"",'📋 IP Input Sheet'!E8,'📋 IP Input Sheet'!F8)),"[Enter IP]")</f>
        <v/>
      </c>
      <c r="G12" s="12" t="inlineStr">
        <is>
          <t>514</t>
        </is>
      </c>
      <c r="H12" s="12" t="inlineStr">
        <is>
          <t>TCP/UDP</t>
        </is>
      </c>
      <c r="I12" s="12" t="inlineStr">
        <is>
          <t>NSX node syslog</t>
        </is>
      </c>
      <c r="J12" s="13" t="inlineStr">
        <is>
          <t>Allow</t>
        </is>
      </c>
      <c r="K12" s="14" t="inlineStr">
        <is>
          <t>Gateway FW</t>
        </is>
      </c>
      <c r="L12" s="12" t="inlineStr">
        <is>
          <t>Outbound</t>
        </is>
      </c>
      <c r="M12" s="12" t="inlineStr"/>
    </row>
    <row r="13" ht="18" customHeight="1">
      <c r="A13" s="15" t="inlineStr">
        <is>
          <t>MF-10</t>
        </is>
      </c>
      <c r="B13" s="15" t="inlineStr">
        <is>
          <t>NSX Mgr → VOL (syslog TLS)</t>
        </is>
      </c>
      <c r="C13" s="15" t="inlineStr">
        <is>
          <t>NSX Manager</t>
        </is>
      </c>
      <c r="D13" s="15">
        <f>IFERROR(IF('📋 IP Input Sheet'!D14&lt;&gt;"",'📋 IP Input Sheet'!D14,IF('📋 IP Input Sheet'!E14&lt;&gt;"",'📋 IP Input Sheet'!E14,'📋 IP Input Sheet'!F14)),"[Enter IP]")</f>
        <v/>
      </c>
      <c r="E13" s="15" t="inlineStr">
        <is>
          <t>VCF Operations for Logs</t>
        </is>
      </c>
      <c r="F13" s="15">
        <f>IFERROR(IF('📋 IP Input Sheet'!D8&lt;&gt;"",'📋 IP Input Sheet'!D8,IF('📋 IP Input Sheet'!E8&lt;&gt;"",'📋 IP Input Sheet'!E8,'📋 IP Input Sheet'!F8)),"[Enter IP]")</f>
        <v/>
      </c>
      <c r="G13" s="15" t="inlineStr">
        <is>
          <t>6514</t>
        </is>
      </c>
      <c r="H13" s="15" t="inlineStr">
        <is>
          <t>TCP</t>
        </is>
      </c>
      <c r="I13" s="15" t="inlineStr">
        <is>
          <t>Syslog over TLS</t>
        </is>
      </c>
      <c r="J13" s="13" t="inlineStr">
        <is>
          <t>Allow</t>
        </is>
      </c>
      <c r="K13" s="14" t="inlineStr">
        <is>
          <t>Gateway FW</t>
        </is>
      </c>
      <c r="L13" s="15" t="inlineStr">
        <is>
          <t>Outbound</t>
        </is>
      </c>
      <c r="M13" s="15" t="inlineStr"/>
    </row>
    <row r="14" ht="18" customHeight="1">
      <c r="A14" s="12" t="inlineStr">
        <is>
          <t>MF-11</t>
        </is>
      </c>
      <c r="B14" s="12" t="inlineStr">
        <is>
          <t>SDDC Mgr → Fleet Mgr (HTTPS)</t>
        </is>
      </c>
      <c r="C14" s="12" t="inlineStr">
        <is>
          <t>SDDC Manager</t>
        </is>
      </c>
      <c r="D14" s="12">
        <f>IFERROR(IF('📋 IP Input Sheet'!D16&lt;&gt;"",'📋 IP Input Sheet'!D16,IF('📋 IP Input Sheet'!E16&lt;&gt;"",'📋 IP Input Sheet'!E16,'📋 IP Input Sheet'!F16)),"[Enter IP]")</f>
        <v/>
      </c>
      <c r="E14" s="12" t="inlineStr">
        <is>
          <t>VCF Ops Fleet Manager</t>
        </is>
      </c>
      <c r="F14" s="12">
        <f>IFERROR(IF('📋 IP Input Sheet'!D5&lt;&gt;"",'📋 IP Input Sheet'!D5,IF('📋 IP Input Sheet'!E5&lt;&gt;"",'📋 IP Input Sheet'!E5,'📋 IP Input Sheet'!F5)),"[Enter IP]")</f>
        <v/>
      </c>
      <c r="G14" s="12" t="inlineStr">
        <is>
          <t>443</t>
        </is>
      </c>
      <c r="H14" s="12" t="inlineStr">
        <is>
          <t>TCP</t>
        </is>
      </c>
      <c r="I14" s="12" t="inlineStr">
        <is>
          <t>HTTPS+API — fleet orchestration</t>
        </is>
      </c>
      <c r="J14" s="13" t="inlineStr">
        <is>
          <t>Allow</t>
        </is>
      </c>
      <c r="K14" s="14" t="inlineStr">
        <is>
          <t>Gateway FW</t>
        </is>
      </c>
      <c r="L14" s="12" t="inlineStr">
        <is>
          <t>Outbound</t>
        </is>
      </c>
      <c r="M14" s="12" t="inlineStr"/>
    </row>
    <row r="15" ht="18" customHeight="1">
      <c r="A15" s="15" t="inlineStr">
        <is>
          <t>MF-12</t>
        </is>
      </c>
      <c r="B15" s="15" t="inlineStr">
        <is>
          <t>SDDC Mgr → Fleet Mgr (SSH)</t>
        </is>
      </c>
      <c r="C15" s="15" t="inlineStr">
        <is>
          <t>SDDC Manager</t>
        </is>
      </c>
      <c r="D15" s="15">
        <f>IFERROR(IF('📋 IP Input Sheet'!D16&lt;&gt;"",'📋 IP Input Sheet'!D16,IF('📋 IP Input Sheet'!E16&lt;&gt;"",'📋 IP Input Sheet'!E16,'📋 IP Input Sheet'!F16)),"[Enter IP]")</f>
        <v/>
      </c>
      <c r="E15" s="15" t="inlineStr">
        <is>
          <t>VCF Ops Fleet Manager</t>
        </is>
      </c>
      <c r="F15" s="15">
        <f>IFERROR(IF('📋 IP Input Sheet'!D5&lt;&gt;"",'📋 IP Input Sheet'!D5,IF('📋 IP Input Sheet'!E5&lt;&gt;"",'📋 IP Input Sheet'!E5,'📋 IP Input Sheet'!F5)),"[Enter IP]")</f>
        <v/>
      </c>
      <c r="G15" s="15" t="inlineStr">
        <is>
          <t>22</t>
        </is>
      </c>
      <c r="H15" s="15" t="inlineStr">
        <is>
          <t>TCP</t>
        </is>
      </c>
      <c r="I15" s="15" t="inlineStr">
        <is>
          <t>SSH — deployment+troubleshooting</t>
        </is>
      </c>
      <c r="J15" s="13" t="inlineStr">
        <is>
          <t>Allow</t>
        </is>
      </c>
      <c r="K15" s="14" t="inlineStr">
        <is>
          <t>Gateway FW</t>
        </is>
      </c>
      <c r="L15" s="15" t="inlineStr">
        <is>
          <t>Outbound</t>
        </is>
      </c>
      <c r="M15" s="15" t="inlineStr">
        <is>
          <t>Admin — restrict to jump host</t>
        </is>
      </c>
    </row>
    <row r="16" ht="18" customHeight="1">
      <c r="A16" s="12" t="inlineStr">
        <is>
          <t>MF-13</t>
        </is>
      </c>
      <c r="B16" s="12" t="inlineStr">
        <is>
          <t>SDDC Mgr → VCFA (HTTPS)</t>
        </is>
      </c>
      <c r="C16" s="12" t="inlineStr">
        <is>
          <t>SDDC Manager</t>
        </is>
      </c>
      <c r="D16" s="12">
        <f>IFERROR(IF('📋 IP Input Sheet'!D16&lt;&gt;"",'📋 IP Input Sheet'!D16,IF('📋 IP Input Sheet'!E16&lt;&gt;"",'📋 IP Input Sheet'!E16,'📋 IP Input Sheet'!F16)),"[Enter IP]")</f>
        <v/>
      </c>
      <c r="E16" s="12" t="inlineStr">
        <is>
          <t>VCF Automation (VCFA)</t>
        </is>
      </c>
      <c r="F16" s="12">
        <f>IFERROR(IF('📋 IP Input Sheet'!D7&lt;&gt;"",'📋 IP Input Sheet'!D7,IF('📋 IP Input Sheet'!E7&lt;&gt;"",'📋 IP Input Sheet'!E7,'📋 IP Input Sheet'!F7)),"[Enter IP]")</f>
        <v/>
      </c>
      <c r="G16" s="12" t="inlineStr">
        <is>
          <t>443</t>
        </is>
      </c>
      <c r="H16" s="12" t="inlineStr">
        <is>
          <t>TCP</t>
        </is>
      </c>
      <c r="I16" s="12" t="inlineStr">
        <is>
          <t>API access management</t>
        </is>
      </c>
      <c r="J16" s="13" t="inlineStr">
        <is>
          <t>Allow</t>
        </is>
      </c>
      <c r="K16" s="14" t="inlineStr">
        <is>
          <t>Gateway FW</t>
        </is>
      </c>
      <c r="L16" s="12" t="inlineStr">
        <is>
          <t>Outbound</t>
        </is>
      </c>
      <c r="M16" s="12" t="inlineStr"/>
    </row>
    <row r="17" ht="18" customHeight="1">
      <c r="A17" s="15" t="inlineStr">
        <is>
          <t>MF-14</t>
        </is>
      </c>
      <c r="B17" s="15" t="inlineStr">
        <is>
          <t>SDDC Mgr → VCFA (SSH)</t>
        </is>
      </c>
      <c r="C17" s="15" t="inlineStr">
        <is>
          <t>SDDC Manager</t>
        </is>
      </c>
      <c r="D17" s="15">
        <f>IFERROR(IF('📋 IP Input Sheet'!D16&lt;&gt;"",'📋 IP Input Sheet'!D16,IF('📋 IP Input Sheet'!E16&lt;&gt;"",'📋 IP Input Sheet'!E16,'📋 IP Input Sheet'!F16)),"[Enter IP]")</f>
        <v/>
      </c>
      <c r="E17" s="15" t="inlineStr">
        <is>
          <t>VCF Automation (VCFA)</t>
        </is>
      </c>
      <c r="F17" s="15">
        <f>IFERROR(IF('📋 IP Input Sheet'!D7&lt;&gt;"",'📋 IP Input Sheet'!D7,IF('📋 IP Input Sheet'!E7&lt;&gt;"",'📋 IP Input Sheet'!E7,'📋 IP Input Sheet'!F7)),"[Enter IP]")</f>
        <v/>
      </c>
      <c r="G17" s="15" t="inlineStr">
        <is>
          <t>22</t>
        </is>
      </c>
      <c r="H17" s="15" t="inlineStr">
        <is>
          <t>TCP</t>
        </is>
      </c>
      <c r="I17" s="15" t="inlineStr">
        <is>
          <t>SSH cluster nodes</t>
        </is>
      </c>
      <c r="J17" s="13" t="inlineStr">
        <is>
          <t>Allow</t>
        </is>
      </c>
      <c r="K17" s="14" t="inlineStr">
        <is>
          <t>Gateway FW</t>
        </is>
      </c>
      <c r="L17" s="15" t="inlineStr">
        <is>
          <t>Outbound</t>
        </is>
      </c>
      <c r="M17" s="15" t="inlineStr">
        <is>
          <t>Admin — restrict to jump host</t>
        </is>
      </c>
    </row>
    <row r="18" ht="18" customHeight="1">
      <c r="A18" s="12" t="inlineStr">
        <is>
          <t>MF-15</t>
        </is>
      </c>
      <c r="B18" s="12" t="inlineStr">
        <is>
          <t>SDDC Mgr → VCFO (HTTPS)</t>
        </is>
      </c>
      <c r="C18" s="12" t="inlineStr">
        <is>
          <t>SDDC Manager</t>
        </is>
      </c>
      <c r="D18" s="12">
        <f>IFERROR(IF('📋 IP Input Sheet'!D16&lt;&gt;"",'📋 IP Input Sheet'!D16,IF('📋 IP Input Sheet'!E16&lt;&gt;"",'📋 IP Input Sheet'!E16,'📋 IP Input Sheet'!F16)),"[Enter IP]")</f>
        <v/>
      </c>
      <c r="E18" s="12" t="inlineStr">
        <is>
          <t>VCF Operations (VCFO)</t>
        </is>
      </c>
      <c r="F18" s="12">
        <f>IFERROR(IF('📋 IP Input Sheet'!D6&lt;&gt;"",'📋 IP Input Sheet'!D6,IF('📋 IP Input Sheet'!E6&lt;&gt;"",'📋 IP Input Sheet'!E6,'📋 IP Input Sheet'!F6)),"[Enter IP]")</f>
        <v/>
      </c>
      <c r="G18" s="12" t="inlineStr">
        <is>
          <t>443</t>
        </is>
      </c>
      <c r="H18" s="12" t="inlineStr">
        <is>
          <t>TCP</t>
        </is>
      </c>
      <c r="I18" s="12" t="inlineStr">
        <is>
          <t>API access cluster+nodes</t>
        </is>
      </c>
      <c r="J18" s="13" t="inlineStr">
        <is>
          <t>Allow</t>
        </is>
      </c>
      <c r="K18" s="14" t="inlineStr">
        <is>
          <t>Gateway FW</t>
        </is>
      </c>
      <c r="L18" s="12" t="inlineStr">
        <is>
          <t>Outbound</t>
        </is>
      </c>
      <c r="M18" s="12" t="inlineStr"/>
    </row>
    <row r="19" ht="18" customHeight="1">
      <c r="A19" s="15" t="inlineStr">
        <is>
          <t>MF-16</t>
        </is>
      </c>
      <c r="B19" s="15" t="inlineStr">
        <is>
          <t>SDDC Mgr → VCFO (SSH)</t>
        </is>
      </c>
      <c r="C19" s="15" t="inlineStr">
        <is>
          <t>SDDC Manager</t>
        </is>
      </c>
      <c r="D19" s="15">
        <f>IFERROR(IF('📋 IP Input Sheet'!D16&lt;&gt;"",'📋 IP Input Sheet'!D16,IF('📋 IP Input Sheet'!E16&lt;&gt;"",'📋 IP Input Sheet'!E16,'📋 IP Input Sheet'!F16)),"[Enter IP]")</f>
        <v/>
      </c>
      <c r="E19" s="15" t="inlineStr">
        <is>
          <t>VCF Operations (VCFO)</t>
        </is>
      </c>
      <c r="F19" s="15">
        <f>IFERROR(IF('📋 IP Input Sheet'!D6&lt;&gt;"",'📋 IP Input Sheet'!D6,IF('📋 IP Input Sheet'!E6&lt;&gt;"",'📋 IP Input Sheet'!E6,'📋 IP Input Sheet'!F6)),"[Enter IP]")</f>
        <v/>
      </c>
      <c r="G19" s="15" t="inlineStr">
        <is>
          <t>22</t>
        </is>
      </c>
      <c r="H19" s="15" t="inlineStr">
        <is>
          <t>TCP</t>
        </is>
      </c>
      <c r="I19" s="15" t="inlineStr">
        <is>
          <t>SSH cluster+collector nodes</t>
        </is>
      </c>
      <c r="J19" s="13" t="inlineStr">
        <is>
          <t>Allow</t>
        </is>
      </c>
      <c r="K19" s="14" t="inlineStr">
        <is>
          <t>Gateway FW</t>
        </is>
      </c>
      <c r="L19" s="15" t="inlineStr">
        <is>
          <t>Outbound</t>
        </is>
      </c>
      <c r="M19" s="15" t="inlineStr">
        <is>
          <t>Admin — restrict to jump host</t>
        </is>
      </c>
    </row>
    <row r="20" ht="18" customHeight="1">
      <c r="A20" s="12" t="inlineStr">
        <is>
          <t>MF-17</t>
        </is>
      </c>
      <c r="B20" s="12" t="inlineStr">
        <is>
          <t>SDDC Mgr → VOL (syslog)</t>
        </is>
      </c>
      <c r="C20" s="12" t="inlineStr">
        <is>
          <t>SDDC Manager</t>
        </is>
      </c>
      <c r="D20" s="12">
        <f>IFERROR(IF('📋 IP Input Sheet'!D16&lt;&gt;"",'📋 IP Input Sheet'!D16,IF('📋 IP Input Sheet'!E16&lt;&gt;"",'📋 IP Input Sheet'!E16,'📋 IP Input Sheet'!F16)),"[Enter IP]")</f>
        <v/>
      </c>
      <c r="E20" s="12" t="inlineStr">
        <is>
          <t>VCF Operations for Logs</t>
        </is>
      </c>
      <c r="F20" s="12">
        <f>IFERROR(IF('📋 IP Input Sheet'!D8&lt;&gt;"",'📋 IP Input Sheet'!D8,IF('📋 IP Input Sheet'!E8&lt;&gt;"",'📋 IP Input Sheet'!E8,'📋 IP Input Sheet'!F8)),"[Enter IP]")</f>
        <v/>
      </c>
      <c r="G20" s="12" t="inlineStr">
        <is>
          <t>514</t>
        </is>
      </c>
      <c r="H20" s="12" t="inlineStr">
        <is>
          <t>TCP</t>
        </is>
      </c>
      <c r="I20" s="12" t="inlineStr">
        <is>
          <t>Syslog based logging</t>
        </is>
      </c>
      <c r="J20" s="13" t="inlineStr">
        <is>
          <t>Allow</t>
        </is>
      </c>
      <c r="K20" s="14" t="inlineStr">
        <is>
          <t>Gateway FW</t>
        </is>
      </c>
      <c r="L20" s="12" t="inlineStr">
        <is>
          <t>Outbound</t>
        </is>
      </c>
      <c r="M20" s="12" t="inlineStr"/>
    </row>
    <row r="21" ht="18" customHeight="1">
      <c r="A21" s="15" t="inlineStr">
        <is>
          <t>MF-18</t>
        </is>
      </c>
      <c r="B21" s="15" t="inlineStr">
        <is>
          <t>SDDC Mgr → VOL (9000)</t>
        </is>
      </c>
      <c r="C21" s="15" t="inlineStr">
        <is>
          <t>SDDC Manager</t>
        </is>
      </c>
      <c r="D21" s="15">
        <f>IFERROR(IF('📋 IP Input Sheet'!D16&lt;&gt;"",'📋 IP Input Sheet'!D16,IF('📋 IP Input Sheet'!E16&lt;&gt;"",'📋 IP Input Sheet'!E16,'📋 IP Input Sheet'!F16)),"[Enter IP]")</f>
        <v/>
      </c>
      <c r="E21" s="15" t="inlineStr">
        <is>
          <t>VCF Operations for Logs</t>
        </is>
      </c>
      <c r="F21" s="15">
        <f>IFERROR(IF('📋 IP Input Sheet'!D8&lt;&gt;"",'📋 IP Input Sheet'!D8,IF('📋 IP Input Sheet'!E8&lt;&gt;"",'📋 IP Input Sheet'!E8,'📋 IP Input Sheet'!F8)),"[Enter IP]")</f>
        <v/>
      </c>
      <c r="G21" s="15" t="inlineStr">
        <is>
          <t>9000</t>
        </is>
      </c>
      <c r="H21" s="15" t="inlineStr">
        <is>
          <t>TCP</t>
        </is>
      </c>
      <c r="I21" s="15" t="inlineStr">
        <is>
          <t>Log ingestion API CFAPI unencrypted</t>
        </is>
      </c>
      <c r="J21" s="13" t="inlineStr">
        <is>
          <t>Allow</t>
        </is>
      </c>
      <c r="K21" s="14" t="inlineStr">
        <is>
          <t>Gateway FW</t>
        </is>
      </c>
      <c r="L21" s="15" t="inlineStr">
        <is>
          <t>Outbound</t>
        </is>
      </c>
      <c r="M21" s="15" t="inlineStr"/>
    </row>
    <row r="22" ht="18" customHeight="1">
      <c r="A22" s="12" t="inlineStr">
        <is>
          <t>MF-19</t>
        </is>
      </c>
      <c r="B22" s="12" t="inlineStr">
        <is>
          <t>SDDC Mgr → VOL (HTTPS)</t>
        </is>
      </c>
      <c r="C22" s="12" t="inlineStr">
        <is>
          <t>SDDC Manager</t>
        </is>
      </c>
      <c r="D22" s="12">
        <f>IFERROR(IF('📋 IP Input Sheet'!D16&lt;&gt;"",'📋 IP Input Sheet'!D16,IF('📋 IP Input Sheet'!E16&lt;&gt;"",'📋 IP Input Sheet'!E16,'📋 IP Input Sheet'!F16)),"[Enter IP]")</f>
        <v/>
      </c>
      <c r="E22" s="12" t="inlineStr">
        <is>
          <t>VCF Operations for Logs</t>
        </is>
      </c>
      <c r="F22" s="12">
        <f>IFERROR(IF('📋 IP Input Sheet'!D8&lt;&gt;"",'📋 IP Input Sheet'!D8,IF('📋 IP Input Sheet'!E8&lt;&gt;"",'📋 IP Input Sheet'!E8,'📋 IP Input Sheet'!F8)),"[Enter IP]")</f>
        <v/>
      </c>
      <c r="G22" s="12" t="inlineStr">
        <is>
          <t>443</t>
        </is>
      </c>
      <c r="H22" s="12" t="inlineStr">
        <is>
          <t>TCP</t>
        </is>
      </c>
      <c r="I22" s="12" t="inlineStr">
        <is>
          <t>Logs cluster VIP+nodes</t>
        </is>
      </c>
      <c r="J22" s="13" t="inlineStr">
        <is>
          <t>Allow</t>
        </is>
      </c>
      <c r="K22" s="14" t="inlineStr">
        <is>
          <t>Gateway FW</t>
        </is>
      </c>
      <c r="L22" s="12" t="inlineStr">
        <is>
          <t>Outbound</t>
        </is>
      </c>
      <c r="M22" s="12" t="inlineStr"/>
    </row>
    <row r="23" ht="18" customHeight="1">
      <c r="A23" s="15" t="inlineStr">
        <is>
          <t>MF-20</t>
        </is>
      </c>
      <c r="B23" s="15" t="inlineStr">
        <is>
          <t>SDDC Mgr → VOL (9543)</t>
        </is>
      </c>
      <c r="C23" s="15" t="inlineStr">
        <is>
          <t>SDDC Manager</t>
        </is>
      </c>
      <c r="D23" s="15">
        <f>IFERROR(IF('📋 IP Input Sheet'!D16&lt;&gt;"",'📋 IP Input Sheet'!D16,IF('📋 IP Input Sheet'!E16&lt;&gt;"",'📋 IP Input Sheet'!E16,'📋 IP Input Sheet'!F16)),"[Enter IP]")</f>
        <v/>
      </c>
      <c r="E23" s="15" t="inlineStr">
        <is>
          <t>VCF Operations for Logs</t>
        </is>
      </c>
      <c r="F23" s="15">
        <f>IFERROR(IF('📋 IP Input Sheet'!D8&lt;&gt;"",'📋 IP Input Sheet'!D8,IF('📋 IP Input Sheet'!E8&lt;&gt;"",'📋 IP Input Sheet'!E8,'📋 IP Input Sheet'!F8)),"[Enter IP]")</f>
        <v/>
      </c>
      <c r="G23" s="15" t="inlineStr">
        <is>
          <t>9543</t>
        </is>
      </c>
      <c r="H23" s="15" t="inlineStr">
        <is>
          <t>TCP</t>
        </is>
      </c>
      <c r="I23" s="15" t="inlineStr">
        <is>
          <t>API access management ops</t>
        </is>
      </c>
      <c r="J23" s="13" t="inlineStr">
        <is>
          <t>Allow</t>
        </is>
      </c>
      <c r="K23" s="14" t="inlineStr">
        <is>
          <t>Gateway FW</t>
        </is>
      </c>
      <c r="L23" s="15" t="inlineStr">
        <is>
          <t>Outbound</t>
        </is>
      </c>
      <c r="M23" s="15" t="inlineStr"/>
    </row>
    <row r="24" ht="18" customHeight="1">
      <c r="A24" s="12" t="inlineStr">
        <is>
          <t>MF-21</t>
        </is>
      </c>
      <c r="B24" s="12" t="inlineStr">
        <is>
          <t>SDDC Mgr → VIDB (HTTPS)</t>
        </is>
      </c>
      <c r="C24" s="12" t="inlineStr">
        <is>
          <t>SDDC Manager</t>
        </is>
      </c>
      <c r="D24" s="12">
        <f>IFERROR(IF('📋 IP Input Sheet'!D16&lt;&gt;"",'📋 IP Input Sheet'!D16,IF('📋 IP Input Sheet'!E16&lt;&gt;"",'📋 IP Input Sheet'!E16,'📋 IP Input Sheet'!F16)),"[Enter IP]")</f>
        <v/>
      </c>
      <c r="E24" s="12" t="inlineStr">
        <is>
          <t>Identity Broker (VIDB)</t>
        </is>
      </c>
      <c r="F24" s="12">
        <f>IFERROR(IF('📋 IP Input Sheet'!D10&lt;&gt;"",'📋 IP Input Sheet'!D10,IF('📋 IP Input Sheet'!E10&lt;&gt;"",'📋 IP Input Sheet'!E10,'📋 IP Input Sheet'!F10)),"[Enter IP]")</f>
        <v/>
      </c>
      <c r="G24" s="12" t="inlineStr">
        <is>
          <t>443</t>
        </is>
      </c>
      <c r="H24" s="12" t="inlineStr">
        <is>
          <t>TCP</t>
        </is>
      </c>
      <c r="I24" s="12" t="inlineStr">
        <is>
          <t>VCF SSO API — SDDC Mgr auth</t>
        </is>
      </c>
      <c r="J24" s="13" t="inlineStr">
        <is>
          <t>Allow</t>
        </is>
      </c>
      <c r="K24" s="14" t="inlineStr">
        <is>
          <t>Gateway FW</t>
        </is>
      </c>
      <c r="L24" s="12" t="inlineStr">
        <is>
          <t>Outbound</t>
        </is>
      </c>
      <c r="M24" s="12" t="inlineStr">
        <is>
          <t>Critical — SSO dependency</t>
        </is>
      </c>
    </row>
    <row r="25" ht="18" customHeight="1">
      <c r="A25" s="15" t="inlineStr">
        <is>
          <t>MF-22</t>
        </is>
      </c>
      <c r="B25" s="15" t="inlineStr">
        <is>
          <t>SDDC Mgr → VIDB (SSH)</t>
        </is>
      </c>
      <c r="C25" s="15" t="inlineStr">
        <is>
          <t>SDDC Manager</t>
        </is>
      </c>
      <c r="D25" s="15">
        <f>IFERROR(IF('📋 IP Input Sheet'!D16&lt;&gt;"",'📋 IP Input Sheet'!D16,IF('📋 IP Input Sheet'!E16&lt;&gt;"",'📋 IP Input Sheet'!E16,'📋 IP Input Sheet'!F16)),"[Enter IP]")</f>
        <v/>
      </c>
      <c r="E25" s="15" t="inlineStr">
        <is>
          <t>Identity Broker (VIDB)</t>
        </is>
      </c>
      <c r="F25" s="15">
        <f>IFERROR(IF('📋 IP Input Sheet'!D10&lt;&gt;"",'📋 IP Input Sheet'!D10,IF('📋 IP Input Sheet'!E10&lt;&gt;"",'📋 IP Input Sheet'!E10,'📋 IP Input Sheet'!F10)),"[Enter IP]")</f>
        <v/>
      </c>
      <c r="G25" s="15" t="inlineStr">
        <is>
          <t>22</t>
        </is>
      </c>
      <c r="H25" s="15" t="inlineStr">
        <is>
          <t>TCP</t>
        </is>
      </c>
      <c r="I25" s="15" t="inlineStr">
        <is>
          <t>SSH SSO bringup ops</t>
        </is>
      </c>
      <c r="J25" s="13" t="inlineStr">
        <is>
          <t>Allow</t>
        </is>
      </c>
      <c r="K25" s="14" t="inlineStr">
        <is>
          <t>Gateway FW</t>
        </is>
      </c>
      <c r="L25" s="15" t="inlineStr">
        <is>
          <t>Outbound</t>
        </is>
      </c>
      <c r="M25" s="15" t="inlineStr">
        <is>
          <t>Admin — restrict to jump host</t>
        </is>
      </c>
    </row>
    <row r="26" ht="18" customHeight="1">
      <c r="A26" s="12" t="inlineStr">
        <is>
          <t>MF-23</t>
        </is>
      </c>
      <c r="B26" s="12" t="inlineStr">
        <is>
          <t>ESXi → VOL (syslog)</t>
        </is>
      </c>
      <c r="C26" s="12" t="inlineStr">
        <is>
          <t>ESXi Hosts (WLD)</t>
        </is>
      </c>
      <c r="D26" s="12">
        <f>IFERROR(IF('📋 IP Input Sheet'!D20&lt;&gt;"",'📋 IP Input Sheet'!D20,IF('📋 IP Input Sheet'!E20&lt;&gt;"",'📋 IP Input Sheet'!E20,'📋 IP Input Sheet'!F20)),"[Enter IP]")</f>
        <v/>
      </c>
      <c r="E26" s="12" t="inlineStr">
        <is>
          <t>VCF Operations for Logs</t>
        </is>
      </c>
      <c r="F26" s="12">
        <f>IFERROR(IF('📋 IP Input Sheet'!D8&lt;&gt;"",'📋 IP Input Sheet'!D8,IF('📋 IP Input Sheet'!E8&lt;&gt;"",'📋 IP Input Sheet'!E8,'📋 IP Input Sheet'!F8)),"[Enter IP]")</f>
        <v/>
      </c>
      <c r="G26" s="12" t="inlineStr">
        <is>
          <t>514</t>
        </is>
      </c>
      <c r="H26" s="12" t="inlineStr">
        <is>
          <t>TCP/UDP</t>
        </is>
      </c>
      <c r="I26" s="12" t="inlineStr">
        <is>
          <t>vSphere host syslog to VOL</t>
        </is>
      </c>
      <c r="J26" s="13" t="inlineStr">
        <is>
          <t>Allow</t>
        </is>
      </c>
      <c r="K26" s="14" t="inlineStr">
        <is>
          <t>Gateway FW</t>
        </is>
      </c>
      <c r="L26" s="12" t="inlineStr">
        <is>
          <t>Outbound</t>
        </is>
      </c>
      <c r="M26" s="12" t="inlineStr">
        <is>
          <t>Ticket req #4 — ESXi→Fleet</t>
        </is>
      </c>
    </row>
    <row r="27" ht="18" customHeight="1">
      <c r="A27" s="15" t="inlineStr">
        <is>
          <t>MF-24</t>
        </is>
      </c>
      <c r="B27" s="15" t="inlineStr">
        <is>
          <t>ESXi → VOL (syslog TLS)</t>
        </is>
      </c>
      <c r="C27" s="15" t="inlineStr">
        <is>
          <t>ESXi Hosts (WLD)</t>
        </is>
      </c>
      <c r="D27" s="15">
        <f>IFERROR(IF('📋 IP Input Sheet'!D20&lt;&gt;"",'📋 IP Input Sheet'!D20,IF('📋 IP Input Sheet'!E20&lt;&gt;"",'📋 IP Input Sheet'!E20,'📋 IP Input Sheet'!F20)),"[Enter IP]")</f>
        <v/>
      </c>
      <c r="E27" s="15" t="inlineStr">
        <is>
          <t>VCF Operations for Logs</t>
        </is>
      </c>
      <c r="F27" s="15">
        <f>IFERROR(IF('📋 IP Input Sheet'!D8&lt;&gt;"",'📋 IP Input Sheet'!D8,IF('📋 IP Input Sheet'!E8&lt;&gt;"",'📋 IP Input Sheet'!E8,'📋 IP Input Sheet'!F8)),"[Enter IP]")</f>
        <v/>
      </c>
      <c r="G27" s="15" t="inlineStr">
        <is>
          <t>1514</t>
        </is>
      </c>
      <c r="H27" s="15" t="inlineStr">
        <is>
          <t>TCP</t>
        </is>
      </c>
      <c r="I27" s="15" t="inlineStr">
        <is>
          <t>Secure syslog over TLS</t>
        </is>
      </c>
      <c r="J27" s="13" t="inlineStr">
        <is>
          <t>Allow</t>
        </is>
      </c>
      <c r="K27" s="14" t="inlineStr">
        <is>
          <t>Gateway FW</t>
        </is>
      </c>
      <c r="L27" s="15" t="inlineStr">
        <is>
          <t>Outbound</t>
        </is>
      </c>
      <c r="M27" s="15" t="inlineStr"/>
    </row>
    <row r="28" ht="18" customHeight="1">
      <c r="A28" s="12" t="inlineStr">
        <is>
          <t>MF-25</t>
        </is>
      </c>
      <c r="B28" s="12" t="inlineStr">
        <is>
          <t>ESXi → VON (IPFIX)</t>
        </is>
      </c>
      <c r="C28" s="12" t="inlineStr">
        <is>
          <t>ESXi Hosts (WLD)</t>
        </is>
      </c>
      <c r="D28" s="12">
        <f>IFERROR(IF('📋 IP Input Sheet'!D20&lt;&gt;"",'📋 IP Input Sheet'!D20,IF('📋 IP Input Sheet'!E20&lt;&gt;"",'📋 IP Input Sheet'!E20,'📋 IP Input Sheet'!F20)),"[Enter IP]")</f>
        <v/>
      </c>
      <c r="E28" s="12" t="inlineStr">
        <is>
          <t>VCF Ops for Networks</t>
        </is>
      </c>
      <c r="F28" s="12">
        <f>IFERROR(IF('📋 IP Input Sheet'!D9&lt;&gt;"",'📋 IP Input Sheet'!D9,IF('📋 IP Input Sheet'!E9&lt;&gt;"",'📋 IP Input Sheet'!E9,'📋 IP Input Sheet'!F9)),"[Enter IP]")</f>
        <v/>
      </c>
      <c r="G28" s="12" t="inlineStr">
        <is>
          <t>4739</t>
        </is>
      </c>
      <c r="H28" s="12" t="inlineStr">
        <is>
          <t>TCP/UDP</t>
        </is>
      </c>
      <c r="I28" s="12" t="inlineStr">
        <is>
          <t>IPFIX flow export from ESXi</t>
        </is>
      </c>
      <c r="J28" s="13" t="inlineStr">
        <is>
          <t>Allow</t>
        </is>
      </c>
      <c r="K28" s="14" t="inlineStr">
        <is>
          <t>Gateway FW</t>
        </is>
      </c>
      <c r="L28" s="12" t="inlineStr">
        <is>
          <t>Outbound</t>
        </is>
      </c>
      <c r="M28" s="12" t="inlineStr"/>
    </row>
    <row r="29" ht="18" customHeight="1">
      <c r="A29" s="15" t="inlineStr">
        <is>
          <t>MF-26</t>
        </is>
      </c>
      <c r="B29" s="15" t="inlineStr">
        <is>
          <t>ESXi (Mgmt) → VOL (syslog)</t>
        </is>
      </c>
      <c r="C29" s="15" t="inlineStr">
        <is>
          <t>ESXi Hosts (Mgmt Domain)</t>
        </is>
      </c>
      <c r="D29" s="15">
        <f>IFERROR(IF('📋 IP Input Sheet'!D18&lt;&gt;"",'📋 IP Input Sheet'!D18,IF('📋 IP Input Sheet'!E18&lt;&gt;"",'📋 IP Input Sheet'!E18,'📋 IP Input Sheet'!F18)),"[Enter IP]")</f>
        <v/>
      </c>
      <c r="E29" s="15" t="inlineStr">
        <is>
          <t>VCF Operations for Logs</t>
        </is>
      </c>
      <c r="F29" s="15">
        <f>IFERROR(IF('📋 IP Input Sheet'!D8&lt;&gt;"",'📋 IP Input Sheet'!D8,IF('📋 IP Input Sheet'!E8&lt;&gt;"",'📋 IP Input Sheet'!E8,'📋 IP Input Sheet'!F8)),"[Enter IP]")</f>
        <v/>
      </c>
      <c r="G29" s="15" t="inlineStr">
        <is>
          <t>514</t>
        </is>
      </c>
      <c r="H29" s="15" t="inlineStr">
        <is>
          <t>TCP/UDP</t>
        </is>
      </c>
      <c r="I29" s="15" t="inlineStr">
        <is>
          <t>Mgmt domain ESXi syslog</t>
        </is>
      </c>
      <c r="J29" s="13" t="inlineStr">
        <is>
          <t>Allow</t>
        </is>
      </c>
      <c r="K29" s="14" t="inlineStr">
        <is>
          <t>Gateway FW</t>
        </is>
      </c>
      <c r="L29" s="15" t="inlineStr">
        <is>
          <t>Outbound</t>
        </is>
      </c>
      <c r="M29" s="15" t="inlineStr"/>
    </row>
    <row r="30" ht="18" customHeight="1">
      <c r="A30" s="12" t="inlineStr">
        <is>
          <t>MF-27</t>
        </is>
      </c>
      <c r="B30" s="12" t="inlineStr">
        <is>
          <t>ESXi (Mgmt) → VOL (TLS)</t>
        </is>
      </c>
      <c r="C30" s="12" t="inlineStr">
        <is>
          <t>ESXi Hosts (Mgmt Domain)</t>
        </is>
      </c>
      <c r="D30" s="12">
        <f>IFERROR(IF('📋 IP Input Sheet'!D18&lt;&gt;"",'📋 IP Input Sheet'!D18,IF('📋 IP Input Sheet'!E18&lt;&gt;"",'📋 IP Input Sheet'!E18,'📋 IP Input Sheet'!F18)),"[Enter IP]")</f>
        <v/>
      </c>
      <c r="E30" s="12" t="inlineStr">
        <is>
          <t>VCF Operations for Logs</t>
        </is>
      </c>
      <c r="F30" s="12">
        <f>IFERROR(IF('📋 IP Input Sheet'!D8&lt;&gt;"",'📋 IP Input Sheet'!D8,IF('📋 IP Input Sheet'!E8&lt;&gt;"",'📋 IP Input Sheet'!E8,'📋 IP Input Sheet'!F8)),"[Enter IP]")</f>
        <v/>
      </c>
      <c r="G30" s="12" t="inlineStr">
        <is>
          <t>1514</t>
        </is>
      </c>
      <c r="H30" s="12" t="inlineStr">
        <is>
          <t>TCP</t>
        </is>
      </c>
      <c r="I30" s="12" t="inlineStr">
        <is>
          <t>Secure syslog TLS</t>
        </is>
      </c>
      <c r="J30" s="13" t="inlineStr">
        <is>
          <t>Allow</t>
        </is>
      </c>
      <c r="K30" s="14" t="inlineStr">
        <is>
          <t>Gateway FW</t>
        </is>
      </c>
      <c r="L30" s="12" t="inlineStr">
        <is>
          <t>Outbound</t>
        </is>
      </c>
      <c r="M30" s="12" t="inlineStr"/>
    </row>
    <row r="31" ht="18" customHeight="1">
      <c r="A31" s="15" t="inlineStr">
        <is>
          <t>MF-28</t>
        </is>
      </c>
      <c r="B31" s="15" t="inlineStr">
        <is>
          <t>ICMP All → Fleet (reachability)</t>
        </is>
      </c>
      <c r="C31" s="15" t="inlineStr">
        <is>
          <t>All Mgmt Domain Components</t>
        </is>
      </c>
      <c r="D31" s="15" t="inlineStr">
        <is>
          <t>[All Mgmt IPs]</t>
        </is>
      </c>
      <c r="E31" s="15" t="inlineStr">
        <is>
          <t>All Fleet Components</t>
        </is>
      </c>
      <c r="F31" s="15" t="inlineStr">
        <is>
          <t>[All Fleet IPs]</t>
        </is>
      </c>
      <c r="G31" s="15" t="inlineStr">
        <is>
          <t>ICMP</t>
        </is>
      </c>
      <c r="H31" s="15" t="inlineStr">
        <is>
          <t>ICMP</t>
        </is>
      </c>
      <c r="I31" s="15" t="inlineStr">
        <is>
          <t>IP reachability — ping/traceroute</t>
        </is>
      </c>
      <c r="J31" s="13" t="inlineStr">
        <is>
          <t>Allow</t>
        </is>
      </c>
      <c r="K31" s="14" t="inlineStr">
        <is>
          <t>Gateway FW</t>
        </is>
      </c>
      <c r="L31" s="15" t="inlineStr">
        <is>
          <t>Bidirectional</t>
        </is>
      </c>
      <c r="M31" s="15" t="inlineStr">
        <is>
          <t>ALL Fleet-level &amp; VCF instance-level — mandatory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900"/>
    <outlinePr summaryBelow="1" summaryRight="1"/>
    <pageSetUpPr/>
  </sheetPr>
  <dimension ref="A1:M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28" customWidth="1" min="3" max="3"/>
    <col width="24" customWidth="1" min="4" max="4"/>
    <col width="28" customWidth="1" min="5" max="5"/>
    <col width="24" customWidth="1" min="6" max="6"/>
    <col width="14" customWidth="1" min="7" max="7"/>
    <col width="10" customWidth="1" min="8" max="8"/>
    <col width="34" customWidth="1" min="9" max="9"/>
    <col width="8" customWidth="1" min="10" max="10"/>
    <col width="14" customWidth="1" min="11" max="11"/>
    <col width="14" customWidth="1" min="12" max="12"/>
    <col width="42" customWidth="1" min="13" max="13"/>
  </cols>
  <sheetData>
    <row r="1" ht="28" customHeight="1">
      <c r="A1" s="11" t="inlineStr">
        <is>
          <t>AES-220  |  Firewall Rules  |  Fleet → External Services</t>
        </is>
      </c>
    </row>
    <row r="2" ht="18" customHeight="1">
      <c r="A2" s="2" t="inlineStr">
        <is>
          <t>Source IP and Destination IP auto-populate from '📋 IP Input Sheet'.  Fill in IPs there first.</t>
        </is>
      </c>
    </row>
    <row r="3" ht="28" customHeight="1">
      <c r="A3" s="3" t="inlineStr">
        <is>
          <t>#</t>
        </is>
      </c>
      <c r="B3" s="3" t="inlineStr">
        <is>
          <t>Rule Name</t>
        </is>
      </c>
      <c r="C3" s="3" t="inlineStr">
        <is>
          <t>Source Component</t>
        </is>
      </c>
      <c r="D3" s="3" t="inlineStr">
        <is>
          <t>Source IP / Subnet</t>
        </is>
      </c>
      <c r="E3" s="3" t="inlineStr">
        <is>
          <t>Destination Component</t>
        </is>
      </c>
      <c r="F3" s="3" t="inlineStr">
        <is>
          <t>Destination IP / Subnet</t>
        </is>
      </c>
      <c r="G3" s="3" t="inlineStr">
        <is>
          <t>Port</t>
        </is>
      </c>
      <c r="H3" s="3" t="inlineStr">
        <is>
          <t>Protocol</t>
        </is>
      </c>
      <c r="I3" s="3" t="inlineStr">
        <is>
          <t>Service / Application</t>
        </is>
      </c>
      <c r="J3" s="3" t="inlineStr">
        <is>
          <t>Action</t>
        </is>
      </c>
      <c r="K3" s="3" t="inlineStr">
        <is>
          <t>Firewall Type</t>
        </is>
      </c>
      <c r="L3" s="3" t="inlineStr">
        <is>
          <t>Flow Direction</t>
        </is>
      </c>
      <c r="M3" s="3" t="inlineStr">
        <is>
          <t>Notes</t>
        </is>
      </c>
    </row>
    <row r="4" ht="18" customHeight="1">
      <c r="A4" s="12" t="inlineStr">
        <is>
          <t>EX-01</t>
        </is>
      </c>
      <c r="B4" s="12" t="inlineStr">
        <is>
          <t>Fleet Mgr → DNS</t>
        </is>
      </c>
      <c r="C4" s="12" t="inlineStr">
        <is>
          <t>VCF Operations Fleet Manager</t>
        </is>
      </c>
      <c r="D4" s="12">
        <f>IFERROR(IF('📋 IP Input Sheet'!D5&lt;&gt;"",'📋 IP Input Sheet'!D5,IF('📋 IP Input Sheet'!E5&lt;&gt;"",'📋 IP Input Sheet'!E5,'📋 IP Input Sheet'!F5)),"[Enter IP]")</f>
        <v/>
      </c>
      <c r="E4" s="12" t="inlineStr">
        <is>
          <t>DNS Server</t>
        </is>
      </c>
      <c r="F4" s="12">
        <f>'📋 IP Input Sheet'!D24</f>
        <v/>
      </c>
      <c r="G4" s="12" t="inlineStr">
        <is>
          <t>53</t>
        </is>
      </c>
      <c r="H4" s="12" t="inlineStr">
        <is>
          <t>TCP/UDP</t>
        </is>
      </c>
      <c r="I4" s="12" t="inlineStr">
        <is>
          <t>Name resolution</t>
        </is>
      </c>
      <c r="J4" s="13" t="inlineStr">
        <is>
          <t>Allow</t>
        </is>
      </c>
      <c r="K4" s="14" t="inlineStr">
        <is>
          <t>Gateway FW</t>
        </is>
      </c>
      <c r="L4" s="12" t="inlineStr">
        <is>
          <t>Bidirectional</t>
        </is>
      </c>
      <c r="M4" s="12" t="inlineStr">
        <is>
          <t>All Fleet+VCF components</t>
        </is>
      </c>
    </row>
    <row r="5" ht="18" customHeight="1">
      <c r="A5" s="15" t="inlineStr">
        <is>
          <t>EX-02</t>
        </is>
      </c>
      <c r="B5" s="15" t="inlineStr">
        <is>
          <t>Fleet Mgr → NTP</t>
        </is>
      </c>
      <c r="C5" s="15" t="inlineStr">
        <is>
          <t>VCF Operations Fleet Manager</t>
        </is>
      </c>
      <c r="D5" s="15">
        <f>IFERROR(IF('📋 IP Input Sheet'!D5&lt;&gt;"",'📋 IP Input Sheet'!D5,IF('📋 IP Input Sheet'!E5&lt;&gt;"",'📋 IP Input Sheet'!E5,'📋 IP Input Sheet'!F5)),"[Enter IP]")</f>
        <v/>
      </c>
      <c r="E5" s="15" t="inlineStr">
        <is>
          <t>NTP Server</t>
        </is>
      </c>
      <c r="F5" s="15">
        <f>'📋 IP Input Sheet'!D25</f>
        <v/>
      </c>
      <c r="G5" s="15" t="inlineStr">
        <is>
          <t>123</t>
        </is>
      </c>
      <c r="H5" s="15" t="inlineStr">
        <is>
          <t>UDP</t>
        </is>
      </c>
      <c r="I5" s="15" t="inlineStr">
        <is>
          <t>Time sync</t>
        </is>
      </c>
      <c r="J5" s="13" t="inlineStr">
        <is>
          <t>Allow</t>
        </is>
      </c>
      <c r="K5" s="14" t="inlineStr">
        <is>
          <t>Gateway FW</t>
        </is>
      </c>
      <c r="L5" s="15" t="inlineStr">
        <is>
          <t>Outbound</t>
        </is>
      </c>
      <c r="M5" s="15" t="inlineStr"/>
    </row>
    <row r="6" ht="18" customHeight="1">
      <c r="A6" s="12" t="inlineStr">
        <is>
          <t>EX-03</t>
        </is>
      </c>
      <c r="B6" s="12" t="inlineStr">
        <is>
          <t>VCFO → DNS</t>
        </is>
      </c>
      <c r="C6" s="12" t="inlineStr">
        <is>
          <t>VCF Operations (VCFO)</t>
        </is>
      </c>
      <c r="D6" s="12">
        <f>IFERROR(IF('📋 IP Input Sheet'!D6&lt;&gt;"",'📋 IP Input Sheet'!D6,IF('📋 IP Input Sheet'!E6&lt;&gt;"",'📋 IP Input Sheet'!E6,'📋 IP Input Sheet'!F6)),"[Enter IP]")</f>
        <v/>
      </c>
      <c r="E6" s="12" t="inlineStr">
        <is>
          <t>DNS Server</t>
        </is>
      </c>
      <c r="F6" s="12">
        <f>'📋 IP Input Sheet'!D24</f>
        <v/>
      </c>
      <c r="G6" s="12" t="inlineStr">
        <is>
          <t>53</t>
        </is>
      </c>
      <c r="H6" s="12" t="inlineStr">
        <is>
          <t>TCP/UDP</t>
        </is>
      </c>
      <c r="I6" s="12" t="inlineStr">
        <is>
          <t>DNS</t>
        </is>
      </c>
      <c r="J6" s="13" t="inlineStr">
        <is>
          <t>Allow</t>
        </is>
      </c>
      <c r="K6" s="14" t="inlineStr">
        <is>
          <t>Gateway FW</t>
        </is>
      </c>
      <c r="L6" s="12" t="inlineStr">
        <is>
          <t>Outbound</t>
        </is>
      </c>
      <c r="M6" s="12" t="inlineStr">
        <is>
          <t>Primary/Replica/Data nodes</t>
        </is>
      </c>
    </row>
    <row r="7" ht="18" customHeight="1">
      <c r="A7" s="15" t="inlineStr">
        <is>
          <t>EX-04</t>
        </is>
      </c>
      <c r="B7" s="15" t="inlineStr">
        <is>
          <t>VCFO → NTP</t>
        </is>
      </c>
      <c r="C7" s="15" t="inlineStr">
        <is>
          <t>VCF Operations (VCFO)</t>
        </is>
      </c>
      <c r="D7" s="15">
        <f>IFERROR(IF('📋 IP Input Sheet'!D6&lt;&gt;"",'📋 IP Input Sheet'!D6,IF('📋 IP Input Sheet'!E6&lt;&gt;"",'📋 IP Input Sheet'!E6,'📋 IP Input Sheet'!F6)),"[Enter IP]")</f>
        <v/>
      </c>
      <c r="E7" s="15" t="inlineStr">
        <is>
          <t>NTP Server</t>
        </is>
      </c>
      <c r="F7" s="15">
        <f>'📋 IP Input Sheet'!D25</f>
        <v/>
      </c>
      <c r="G7" s="15" t="inlineStr">
        <is>
          <t>123</t>
        </is>
      </c>
      <c r="H7" s="15" t="inlineStr">
        <is>
          <t>UDP</t>
        </is>
      </c>
      <c r="I7" s="15" t="inlineStr">
        <is>
          <t>Time sync</t>
        </is>
      </c>
      <c r="J7" s="13" t="inlineStr">
        <is>
          <t>Allow</t>
        </is>
      </c>
      <c r="K7" s="14" t="inlineStr">
        <is>
          <t>Gateway FW</t>
        </is>
      </c>
      <c r="L7" s="15" t="inlineStr">
        <is>
          <t>Outbound</t>
        </is>
      </c>
      <c r="M7" s="15" t="inlineStr"/>
    </row>
    <row r="8" ht="18" customHeight="1">
      <c r="A8" s="12" t="inlineStr">
        <is>
          <t>EX-05</t>
        </is>
      </c>
      <c r="B8" s="12" t="inlineStr">
        <is>
          <t>VCFO → LDAP</t>
        </is>
      </c>
      <c r="C8" s="12" t="inlineStr">
        <is>
          <t>VCF Operations (VCFO)</t>
        </is>
      </c>
      <c r="D8" s="12">
        <f>IFERROR(IF('📋 IP Input Sheet'!D6&lt;&gt;"",'📋 IP Input Sheet'!D6,IF('📋 IP Input Sheet'!E6&lt;&gt;"",'📋 IP Input Sheet'!E6,'📋 IP Input Sheet'!F6)),"[Enter IP]")</f>
        <v/>
      </c>
      <c r="E8" s="12" t="inlineStr">
        <is>
          <t>AD/LDAP Server</t>
        </is>
      </c>
      <c r="F8" s="12">
        <f>'📋 IP Input Sheet'!D26</f>
        <v/>
      </c>
      <c r="G8" s="12" t="inlineStr">
        <is>
          <t>389</t>
        </is>
      </c>
      <c r="H8" s="12" t="inlineStr">
        <is>
          <t>TCP</t>
        </is>
      </c>
      <c r="I8" s="12" t="inlineStr">
        <is>
          <t>LDAP directory</t>
        </is>
      </c>
      <c r="J8" s="13" t="inlineStr">
        <is>
          <t>Allow</t>
        </is>
      </c>
      <c r="K8" s="14" t="inlineStr">
        <is>
          <t>Gateway FW</t>
        </is>
      </c>
      <c r="L8" s="12" t="inlineStr">
        <is>
          <t>Outbound</t>
        </is>
      </c>
      <c r="M8" s="12" t="inlineStr"/>
    </row>
    <row r="9" ht="18" customHeight="1">
      <c r="A9" s="15" t="inlineStr">
        <is>
          <t>EX-06</t>
        </is>
      </c>
      <c r="B9" s="15" t="inlineStr">
        <is>
          <t>VCFO → LDAPS</t>
        </is>
      </c>
      <c r="C9" s="15" t="inlineStr">
        <is>
          <t>VCF Operations (VCFO)</t>
        </is>
      </c>
      <c r="D9" s="15">
        <f>IFERROR(IF('📋 IP Input Sheet'!D6&lt;&gt;"",'📋 IP Input Sheet'!D6,IF('📋 IP Input Sheet'!E6&lt;&gt;"",'📋 IP Input Sheet'!E6,'📋 IP Input Sheet'!F6)),"[Enter IP]")</f>
        <v/>
      </c>
      <c r="E9" s="15" t="inlineStr">
        <is>
          <t>AD/LDAP Server</t>
        </is>
      </c>
      <c r="F9" s="15">
        <f>'📋 IP Input Sheet'!D26</f>
        <v/>
      </c>
      <c r="G9" s="15" t="inlineStr">
        <is>
          <t>636</t>
        </is>
      </c>
      <c r="H9" s="15" t="inlineStr">
        <is>
          <t>TCP</t>
        </is>
      </c>
      <c r="I9" s="15" t="inlineStr">
        <is>
          <t>Secure LDAP</t>
        </is>
      </c>
      <c r="J9" s="13" t="inlineStr">
        <is>
          <t>Allow</t>
        </is>
      </c>
      <c r="K9" s="14" t="inlineStr">
        <is>
          <t>Gateway FW</t>
        </is>
      </c>
      <c r="L9" s="15" t="inlineStr">
        <is>
          <t>Outbound</t>
        </is>
      </c>
      <c r="M9" s="15" t="inlineStr"/>
    </row>
    <row r="10" ht="18" customHeight="1">
      <c r="A10" s="12" t="inlineStr">
        <is>
          <t>EX-07</t>
        </is>
      </c>
      <c r="B10" s="12" t="inlineStr">
        <is>
          <t>VCFO → Global Catalog</t>
        </is>
      </c>
      <c r="C10" s="12" t="inlineStr">
        <is>
          <t>VCF Operations (VCFO)</t>
        </is>
      </c>
      <c r="D10" s="12">
        <f>IFERROR(IF('📋 IP Input Sheet'!D6&lt;&gt;"",'📋 IP Input Sheet'!D6,IF('📋 IP Input Sheet'!E6&lt;&gt;"",'📋 IP Input Sheet'!E6,'📋 IP Input Sheet'!F6)),"[Enter IP]")</f>
        <v/>
      </c>
      <c r="E10" s="12" t="inlineStr">
        <is>
          <t>AD/LDAP Server</t>
        </is>
      </c>
      <c r="F10" s="12">
        <f>'📋 IP Input Sheet'!D26</f>
        <v/>
      </c>
      <c r="G10" s="12" t="inlineStr">
        <is>
          <t>3268/3269</t>
        </is>
      </c>
      <c r="H10" s="12" t="inlineStr">
        <is>
          <t>TCP</t>
        </is>
      </c>
      <c r="I10" s="12" t="inlineStr">
        <is>
          <t>Global Catalog</t>
        </is>
      </c>
      <c r="J10" s="13" t="inlineStr">
        <is>
          <t>Allow</t>
        </is>
      </c>
      <c r="K10" s="14" t="inlineStr">
        <is>
          <t>Gateway FW</t>
        </is>
      </c>
      <c r="L10" s="12" t="inlineStr">
        <is>
          <t>Outbound</t>
        </is>
      </c>
      <c r="M10" s="12" t="inlineStr"/>
    </row>
    <row r="11" ht="18" customHeight="1">
      <c r="A11" s="15" t="inlineStr">
        <is>
          <t>EX-08</t>
        </is>
      </c>
      <c r="B11" s="15" t="inlineStr">
        <is>
          <t>VCFO → SFTP</t>
        </is>
      </c>
      <c r="C11" s="15" t="inlineStr">
        <is>
          <t>VCF Operations (VCFO)</t>
        </is>
      </c>
      <c r="D11" s="15">
        <f>IFERROR(IF('📋 IP Input Sheet'!D6&lt;&gt;"",'📋 IP Input Sheet'!D6,IF('📋 IP Input Sheet'!E6&lt;&gt;"",'📋 IP Input Sheet'!E6,'📋 IP Input Sheet'!F6)),"[Enter IP]")</f>
        <v/>
      </c>
      <c r="E11" s="15" t="inlineStr">
        <is>
          <t>SFTP Server</t>
        </is>
      </c>
      <c r="F11" s="15">
        <f>'📋 IP Input Sheet'!D28</f>
        <v/>
      </c>
      <c r="G11" s="15" t="inlineStr">
        <is>
          <t>22</t>
        </is>
      </c>
      <c r="H11" s="15" t="inlineStr">
        <is>
          <t>TCP</t>
        </is>
      </c>
      <c r="I11" s="15" t="inlineStr">
        <is>
          <t>External backup — NOT primary</t>
        </is>
      </c>
      <c r="J11" s="13" t="inlineStr">
        <is>
          <t>Allow</t>
        </is>
      </c>
      <c r="K11" s="14" t="inlineStr">
        <is>
          <t>Gateway FW</t>
        </is>
      </c>
      <c r="L11" s="15" t="inlineStr">
        <is>
          <t>Outbound</t>
        </is>
      </c>
      <c r="M11" s="15" t="inlineStr">
        <is>
          <t>VCF Ops does NOT use SFTP for primary backup</t>
        </is>
      </c>
    </row>
    <row r="12" ht="18" customHeight="1">
      <c r="A12" s="12" t="inlineStr">
        <is>
          <t>EX-09</t>
        </is>
      </c>
      <c r="B12" s="12" t="inlineStr">
        <is>
          <t>VIDB → LDAP</t>
        </is>
      </c>
      <c r="C12" s="12" t="inlineStr">
        <is>
          <t>Identity Broker (VIDB)</t>
        </is>
      </c>
      <c r="D12" s="12">
        <f>IFERROR(IF('📋 IP Input Sheet'!D10&lt;&gt;"",'📋 IP Input Sheet'!D10,IF('📋 IP Input Sheet'!E10&lt;&gt;"",'📋 IP Input Sheet'!E10,'📋 IP Input Sheet'!F10)),"[Enter IP]")</f>
        <v/>
      </c>
      <c r="E12" s="12" t="inlineStr">
        <is>
          <t>AD/LDAP Server</t>
        </is>
      </c>
      <c r="F12" s="12">
        <f>'📋 IP Input Sheet'!D26</f>
        <v/>
      </c>
      <c r="G12" s="12" t="inlineStr">
        <is>
          <t>389</t>
        </is>
      </c>
      <c r="H12" s="12" t="inlineStr">
        <is>
          <t>TCP/UDP</t>
        </is>
      </c>
      <c r="I12" s="12" t="inlineStr">
        <is>
          <t>Directory lookups</t>
        </is>
      </c>
      <c r="J12" s="13" t="inlineStr">
        <is>
          <t>Allow</t>
        </is>
      </c>
      <c r="K12" s="14" t="inlineStr">
        <is>
          <t>Gateway FW</t>
        </is>
      </c>
      <c r="L12" s="12" t="inlineStr">
        <is>
          <t>Outbound</t>
        </is>
      </c>
      <c r="M12" s="12" t="inlineStr">
        <is>
          <t>Identity Broker→AD</t>
        </is>
      </c>
    </row>
    <row r="13" ht="18" customHeight="1">
      <c r="A13" s="15" t="inlineStr">
        <is>
          <t>EX-10</t>
        </is>
      </c>
      <c r="B13" s="15" t="inlineStr">
        <is>
          <t>VIDB → Secure LDAP</t>
        </is>
      </c>
      <c r="C13" s="15" t="inlineStr">
        <is>
          <t>Identity Broker (VIDB)</t>
        </is>
      </c>
      <c r="D13" s="15">
        <f>IFERROR(IF('📋 IP Input Sheet'!D10&lt;&gt;"",'📋 IP Input Sheet'!D10,IF('📋 IP Input Sheet'!E10&lt;&gt;"",'📋 IP Input Sheet'!E10,'📋 IP Input Sheet'!F10)),"[Enter IP]")</f>
        <v/>
      </c>
      <c r="E13" s="15" t="inlineStr">
        <is>
          <t>AD/LDAP Server</t>
        </is>
      </c>
      <c r="F13" s="15">
        <f>'📋 IP Input Sheet'!D26</f>
        <v/>
      </c>
      <c r="G13" s="15" t="inlineStr">
        <is>
          <t>636</t>
        </is>
      </c>
      <c r="H13" s="15" t="inlineStr">
        <is>
          <t>TCP</t>
        </is>
      </c>
      <c r="I13" s="15" t="inlineStr">
        <is>
          <t>Secure LDAP</t>
        </is>
      </c>
      <c r="J13" s="13" t="inlineStr">
        <is>
          <t>Allow</t>
        </is>
      </c>
      <c r="K13" s="14" t="inlineStr">
        <is>
          <t>Gateway FW</t>
        </is>
      </c>
      <c r="L13" s="15" t="inlineStr">
        <is>
          <t>Outbound</t>
        </is>
      </c>
      <c r="M13" s="15" t="inlineStr"/>
    </row>
    <row r="14" ht="18" customHeight="1">
      <c r="A14" s="12" t="inlineStr">
        <is>
          <t>EX-11</t>
        </is>
      </c>
      <c r="B14" s="12" t="inlineStr">
        <is>
          <t>VIDB → IdP Federation</t>
        </is>
      </c>
      <c r="C14" s="12" t="inlineStr">
        <is>
          <t>Identity Broker (VIDB)</t>
        </is>
      </c>
      <c r="D14" s="12">
        <f>IFERROR(IF('📋 IP Input Sheet'!D10&lt;&gt;"",'📋 IP Input Sheet'!D10,IF('📋 IP Input Sheet'!E10&lt;&gt;"",'📋 IP Input Sheet'!E10,'📋 IP Input Sheet'!F10)),"[Enter IP]")</f>
        <v/>
      </c>
      <c r="E14" s="12" t="inlineStr">
        <is>
          <t>IdP Federation Endpoint</t>
        </is>
      </c>
      <c r="F14" s="12" t="inlineStr">
        <is>
          <t>[External IP]</t>
        </is>
      </c>
      <c r="G14" s="12" t="inlineStr">
        <is>
          <t>443</t>
        </is>
      </c>
      <c r="H14" s="12" t="inlineStr">
        <is>
          <t>TCP</t>
        </is>
      </c>
      <c r="I14" s="12" t="inlineStr">
        <is>
          <t>SAML/OIDC/Okta/Ping/Entra ID</t>
        </is>
      </c>
      <c r="J14" s="13" t="inlineStr">
        <is>
          <t>Allow</t>
        </is>
      </c>
      <c r="K14" s="14" t="inlineStr">
        <is>
          <t>Gateway FW</t>
        </is>
      </c>
      <c r="L14" s="12" t="inlineStr">
        <is>
          <t>Outbound</t>
        </is>
      </c>
      <c r="M14" s="12" t="inlineStr">
        <is>
          <t>External IdP — confirm IP with AMEX security team</t>
        </is>
      </c>
    </row>
    <row r="15" ht="18" customHeight="1">
      <c r="A15" s="15" t="inlineStr">
        <is>
          <t>EX-12</t>
        </is>
      </c>
      <c r="B15" s="15" t="inlineStr">
        <is>
          <t>VIDB → DNS</t>
        </is>
      </c>
      <c r="C15" s="15" t="inlineStr">
        <is>
          <t>Identity Broker (VIDB)</t>
        </is>
      </c>
      <c r="D15" s="15">
        <f>IFERROR(IF('📋 IP Input Sheet'!D10&lt;&gt;"",'📋 IP Input Sheet'!D10,IF('📋 IP Input Sheet'!E10&lt;&gt;"",'📋 IP Input Sheet'!E10,'📋 IP Input Sheet'!F10)),"[Enter IP]")</f>
        <v/>
      </c>
      <c r="E15" s="15" t="inlineStr">
        <is>
          <t>DNS Server</t>
        </is>
      </c>
      <c r="F15" s="15">
        <f>'📋 IP Input Sheet'!D24</f>
        <v/>
      </c>
      <c r="G15" s="15" t="inlineStr">
        <is>
          <t>53</t>
        </is>
      </c>
      <c r="H15" s="15" t="inlineStr">
        <is>
          <t>TCP/UDP</t>
        </is>
      </c>
      <c r="I15" s="15" t="inlineStr">
        <is>
          <t>FQDN resolution for vCenter/NSX/SDDC</t>
        </is>
      </c>
      <c r="J15" s="13" t="inlineStr">
        <is>
          <t>Allow</t>
        </is>
      </c>
      <c r="K15" s="14" t="inlineStr">
        <is>
          <t>Gateway FW</t>
        </is>
      </c>
      <c r="L15" s="15" t="inlineStr">
        <is>
          <t>Outbound</t>
        </is>
      </c>
      <c r="M15" s="15" t="inlineStr"/>
    </row>
    <row r="16" ht="18" customHeight="1">
      <c r="A16" s="12" t="inlineStr">
        <is>
          <t>EX-13</t>
        </is>
      </c>
      <c r="B16" s="12" t="inlineStr">
        <is>
          <t>VIDB → NTP</t>
        </is>
      </c>
      <c r="C16" s="12" t="inlineStr">
        <is>
          <t>Identity Broker (VIDB)</t>
        </is>
      </c>
      <c r="D16" s="12">
        <f>IFERROR(IF('📋 IP Input Sheet'!D10&lt;&gt;"",'📋 IP Input Sheet'!D10,IF('📋 IP Input Sheet'!E10&lt;&gt;"",'📋 IP Input Sheet'!E10,'📋 IP Input Sheet'!F10)),"[Enter IP]")</f>
        <v/>
      </c>
      <c r="E16" s="12" t="inlineStr">
        <is>
          <t>NTP Server</t>
        </is>
      </c>
      <c r="F16" s="12">
        <f>'📋 IP Input Sheet'!D25</f>
        <v/>
      </c>
      <c r="G16" s="12" t="inlineStr">
        <is>
          <t>123</t>
        </is>
      </c>
      <c r="H16" s="12" t="inlineStr">
        <is>
          <t>UDP</t>
        </is>
      </c>
      <c r="I16" s="12" t="inlineStr">
        <is>
          <t>Time sync</t>
        </is>
      </c>
      <c r="J16" s="13" t="inlineStr">
        <is>
          <t>Allow</t>
        </is>
      </c>
      <c r="K16" s="14" t="inlineStr">
        <is>
          <t>Gateway FW</t>
        </is>
      </c>
      <c r="L16" s="12" t="inlineStr">
        <is>
          <t>Outbound</t>
        </is>
      </c>
      <c r="M16" s="12" t="inlineStr"/>
    </row>
    <row r="17" ht="18" customHeight="1">
      <c r="A17" s="15" t="inlineStr">
        <is>
          <t>EX-14</t>
        </is>
      </c>
      <c r="B17" s="15" t="inlineStr">
        <is>
          <t>VIDB → SFTP</t>
        </is>
      </c>
      <c r="C17" s="15" t="inlineStr">
        <is>
          <t>Identity Broker (VIDB)</t>
        </is>
      </c>
      <c r="D17" s="15">
        <f>IFERROR(IF('📋 IP Input Sheet'!D10&lt;&gt;"",'📋 IP Input Sheet'!D10,IF('📋 IP Input Sheet'!E10&lt;&gt;"",'📋 IP Input Sheet'!E10,'📋 IP Input Sheet'!F10)),"[Enter IP]")</f>
        <v/>
      </c>
      <c r="E17" s="15" t="inlineStr">
        <is>
          <t>SFTP Server</t>
        </is>
      </c>
      <c r="F17" s="15">
        <f>'📋 IP Input Sheet'!D28</f>
        <v/>
      </c>
      <c r="G17" s="15" t="inlineStr">
        <is>
          <t>22</t>
        </is>
      </c>
      <c r="H17" s="15" t="inlineStr">
        <is>
          <t>TCP</t>
        </is>
      </c>
      <c r="I17" s="15" t="inlineStr">
        <is>
          <t>External backup via Fleet Mgr</t>
        </is>
      </c>
      <c r="J17" s="13" t="inlineStr">
        <is>
          <t>Allow</t>
        </is>
      </c>
      <c r="K17" s="14" t="inlineStr">
        <is>
          <t>Gateway FW</t>
        </is>
      </c>
      <c r="L17" s="15" t="inlineStr">
        <is>
          <t>Outbound</t>
        </is>
      </c>
      <c r="M17" s="15" t="inlineStr"/>
    </row>
    <row r="18" ht="18" customHeight="1">
      <c r="A18" s="12" t="inlineStr">
        <is>
          <t>EX-15</t>
        </is>
      </c>
      <c r="B18" s="12" t="inlineStr">
        <is>
          <t>VIDB → CA Server</t>
        </is>
      </c>
      <c r="C18" s="12" t="inlineStr">
        <is>
          <t>Identity Broker (VIDB)</t>
        </is>
      </c>
      <c r="D18" s="12">
        <f>IFERROR(IF('📋 IP Input Sheet'!D10&lt;&gt;"",'📋 IP Input Sheet'!D10,IF('📋 IP Input Sheet'!E10&lt;&gt;"",'📋 IP Input Sheet'!E10,'📋 IP Input Sheet'!F10)),"[Enter IP]")</f>
        <v/>
      </c>
      <c r="E18" s="12" t="inlineStr">
        <is>
          <t>CA Certificate Server</t>
        </is>
      </c>
      <c r="F18" s="12">
        <f>'📋 IP Input Sheet'!D27</f>
        <v/>
      </c>
      <c r="G18" s="12" t="inlineStr">
        <is>
          <t>443</t>
        </is>
      </c>
      <c r="H18" s="12" t="inlineStr">
        <is>
          <t>TCP</t>
        </is>
      </c>
      <c r="I18" s="12" t="inlineStr">
        <is>
          <t>SSL certificate — CA</t>
        </is>
      </c>
      <c r="J18" s="13" t="inlineStr">
        <is>
          <t>Allow</t>
        </is>
      </c>
      <c r="K18" s="14" t="inlineStr">
        <is>
          <t>Gateway FW</t>
        </is>
      </c>
      <c r="L18" s="12" t="inlineStr">
        <is>
          <t>Outbound</t>
        </is>
      </c>
      <c r="M18" s="12" t="inlineStr"/>
    </row>
    <row r="19" ht="18" customHeight="1">
      <c r="A19" s="15" t="inlineStr">
        <is>
          <t>EX-16</t>
        </is>
      </c>
      <c r="B19" s="15" t="inlineStr">
        <is>
          <t>ICMP — Fleet→External</t>
        </is>
      </c>
      <c r="C19" s="15" t="inlineStr">
        <is>
          <t>All Fleet Components</t>
        </is>
      </c>
      <c r="D19" s="15" t="inlineStr">
        <is>
          <t>[Fleet IPs]</t>
        </is>
      </c>
      <c r="E19" s="15" t="inlineStr">
        <is>
          <t>External Services</t>
        </is>
      </c>
      <c r="F19" s="15" t="inlineStr">
        <is>
          <t>[External IP]</t>
        </is>
      </c>
      <c r="G19" s="15" t="inlineStr">
        <is>
          <t>ICMP</t>
        </is>
      </c>
      <c r="H19" s="15" t="inlineStr">
        <is>
          <t>ICMP</t>
        </is>
      </c>
      <c r="I19" s="15" t="inlineStr">
        <is>
          <t>Reachability ping/traceroute</t>
        </is>
      </c>
      <c r="J19" s="13" t="inlineStr">
        <is>
          <t>Allow</t>
        </is>
      </c>
      <c r="K19" s="14" t="inlineStr">
        <is>
          <t>Gateway FW</t>
        </is>
      </c>
      <c r="L19" s="15" t="inlineStr">
        <is>
          <t>Bidirectional</t>
        </is>
      </c>
      <c r="M19" s="15" t="inlineStr">
        <is>
          <t>ALL Fleet-level components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24" customWidth="1" min="3" max="3"/>
    <col width="26" customWidth="1" min="4" max="4"/>
    <col width="22" customWidth="1" min="5" max="5"/>
    <col width="16" customWidth="1" min="6" max="6"/>
    <col width="28" customWidth="1" min="7" max="7"/>
    <col width="12" customWidth="1" min="8" max="8"/>
    <col width="40" customWidth="1" min="9" max="9"/>
  </cols>
  <sheetData>
    <row r="1" ht="28" customHeight="1">
      <c r="A1" s="11" t="inlineStr">
        <is>
          <t>AES-220  |  Route Table  |  Fleet ↔ Management Domain ↔ WLD ESXi</t>
        </is>
      </c>
    </row>
    <row r="2" ht="18" customHeight="1">
      <c r="A2" s="2" t="inlineStr">
        <is>
          <t>Destination subnets auto-populated from '📋 IP Input Sheet'.  Next-hop populated once IPs are entered.</t>
        </is>
      </c>
    </row>
    <row r="3" ht="26" customHeight="1">
      <c r="A3" s="3" t="inlineStr">
        <is>
          <t>#</t>
        </is>
      </c>
      <c r="B3" s="3" t="inlineStr">
        <is>
          <t>Destination Network</t>
        </is>
      </c>
      <c r="C3" s="3" t="inlineStr">
        <is>
          <t>Subnet / IP</t>
        </is>
      </c>
      <c r="D3" s="3" t="inlineStr">
        <is>
          <t>Next Hop</t>
        </is>
      </c>
      <c r="E3" s="3" t="inlineStr">
        <is>
          <t>Via Interface</t>
        </is>
      </c>
      <c r="F3" s="3" t="inlineStr">
        <is>
          <t>Route Type</t>
        </is>
      </c>
      <c r="G3" s="3" t="inlineStr">
        <is>
          <t>Source Component</t>
        </is>
      </c>
      <c r="H3" s="3" t="inlineStr">
        <is>
          <t>AZ Scope</t>
        </is>
      </c>
      <c r="I3" s="3" t="inlineStr">
        <is>
          <t>Notes</t>
        </is>
      </c>
    </row>
    <row r="4" ht="18" customHeight="1">
      <c r="A4" s="12" t="inlineStr">
        <is>
          <t>RT-01</t>
        </is>
      </c>
      <c r="B4" s="12" t="inlineStr">
        <is>
          <t>Fleet Overlay Segment</t>
        </is>
      </c>
      <c r="C4" s="12">
        <f>'📋 IP Input Sheet'!D11</f>
        <v/>
      </c>
      <c r="D4" s="12" t="inlineStr">
        <is>
          <t>T0 Gateway (per AZ)</t>
        </is>
      </c>
      <c r="E4" s="12" t="inlineStr">
        <is>
          <t>NSX Overlay</t>
        </is>
      </c>
      <c r="F4" s="14" t="inlineStr">
        <is>
          <t>Static/NSX</t>
        </is>
      </c>
      <c r="G4" s="12" t="inlineStr">
        <is>
          <t>All Fleet Components</t>
        </is>
      </c>
      <c r="H4" s="12" t="inlineStr">
        <is>
          <t>AZ1/2/3</t>
        </is>
      </c>
      <c r="I4" s="12" t="inlineStr">
        <is>
          <t>NSX overlay — depends on Edge/T0 health</t>
        </is>
      </c>
    </row>
    <row r="5" ht="18" customHeight="1">
      <c r="A5" s="15" t="inlineStr">
        <is>
          <t>RT-02</t>
        </is>
      </c>
      <c r="B5" s="15" t="inlineStr">
        <is>
          <t>VCF Ops Fleet Manager</t>
        </is>
      </c>
      <c r="C5" s="15">
        <f>'📋 IP Input Sheet'!D5</f>
        <v/>
      </c>
      <c r="D5" s="15" t="inlineStr">
        <is>
          <t>T0 Gateway (per AZ)</t>
        </is>
      </c>
      <c r="E5" s="15" t="inlineStr">
        <is>
          <t>NSX Overlay</t>
        </is>
      </c>
      <c r="F5" s="14" t="inlineStr">
        <is>
          <t>NSX Overlay</t>
        </is>
      </c>
      <c r="G5" s="15" t="inlineStr">
        <is>
          <t>VCF Operations Fleet Manager</t>
        </is>
      </c>
      <c r="H5" s="15" t="inlineStr">
        <is>
          <t>AZ1/2/3</t>
        </is>
      </c>
      <c r="I5" s="15" t="inlineStr">
        <is>
          <t>Fleet segment — overlay routed</t>
        </is>
      </c>
    </row>
    <row r="6" ht="18" customHeight="1">
      <c r="A6" s="12" t="inlineStr">
        <is>
          <t>RT-03</t>
        </is>
      </c>
      <c r="B6" s="12" t="inlineStr">
        <is>
          <t>VCF Operations (VCFO)</t>
        </is>
      </c>
      <c r="C6" s="12">
        <f>'📋 IP Input Sheet'!D6</f>
        <v/>
      </c>
      <c r="D6" s="12" t="inlineStr">
        <is>
          <t>T0 Gateway (per AZ)</t>
        </is>
      </c>
      <c r="E6" s="12" t="inlineStr">
        <is>
          <t>NSX Overlay</t>
        </is>
      </c>
      <c r="F6" s="14" t="inlineStr">
        <is>
          <t>NSX Overlay</t>
        </is>
      </c>
      <c r="G6" s="12" t="inlineStr">
        <is>
          <t>VCF Operations</t>
        </is>
      </c>
      <c r="H6" s="12" t="inlineStr">
        <is>
          <t>AZ1/2/3</t>
        </is>
      </c>
      <c r="I6" s="12" t="inlineStr">
        <is>
          <t>Fleet segment</t>
        </is>
      </c>
    </row>
    <row r="7" ht="18" customHeight="1">
      <c r="A7" s="15" t="inlineStr">
        <is>
          <t>RT-04</t>
        </is>
      </c>
      <c r="B7" s="15" t="inlineStr">
        <is>
          <t>VCF Automation (VCFA)</t>
        </is>
      </c>
      <c r="C7" s="15">
        <f>'📋 IP Input Sheet'!D7</f>
        <v/>
      </c>
      <c r="D7" s="15" t="inlineStr">
        <is>
          <t>T0 Gateway (per AZ)</t>
        </is>
      </c>
      <c r="E7" s="15" t="inlineStr">
        <is>
          <t>NSX Overlay</t>
        </is>
      </c>
      <c r="F7" s="14" t="inlineStr">
        <is>
          <t>NSX Overlay</t>
        </is>
      </c>
      <c r="G7" s="15" t="inlineStr">
        <is>
          <t>VCF Automation</t>
        </is>
      </c>
      <c r="H7" s="15" t="inlineStr">
        <is>
          <t>AZ1/2/3</t>
        </is>
      </c>
      <c r="I7" s="15" t="inlineStr">
        <is>
          <t>Fleet segment</t>
        </is>
      </c>
    </row>
    <row r="8" ht="18" customHeight="1">
      <c r="A8" s="12" t="inlineStr">
        <is>
          <t>RT-05</t>
        </is>
      </c>
      <c r="B8" s="12" t="inlineStr">
        <is>
          <t>VCF Ops for Logs (VOL)</t>
        </is>
      </c>
      <c r="C8" s="12">
        <f>'📋 IP Input Sheet'!D8</f>
        <v/>
      </c>
      <c r="D8" s="12" t="inlineStr">
        <is>
          <t>T0 Gateway (per AZ)</t>
        </is>
      </c>
      <c r="E8" s="12" t="inlineStr">
        <is>
          <t>NSX Overlay</t>
        </is>
      </c>
      <c r="F8" s="14" t="inlineStr">
        <is>
          <t>NSX Overlay</t>
        </is>
      </c>
      <c r="G8" s="12" t="inlineStr">
        <is>
          <t>VCF Operations for Logs</t>
        </is>
      </c>
      <c r="H8" s="12" t="inlineStr">
        <is>
          <t>AZ1/2/3</t>
        </is>
      </c>
      <c r="I8" s="12" t="inlineStr">
        <is>
          <t>Fleet segment</t>
        </is>
      </c>
    </row>
    <row r="9" ht="18" customHeight="1">
      <c r="A9" s="15" t="inlineStr">
        <is>
          <t>RT-06</t>
        </is>
      </c>
      <c r="B9" s="15" t="inlineStr">
        <is>
          <t>VCF Ops for Networks (VON)</t>
        </is>
      </c>
      <c r="C9" s="15">
        <f>'📋 IP Input Sheet'!D9</f>
        <v/>
      </c>
      <c r="D9" s="15" t="inlineStr">
        <is>
          <t>T0 Gateway (per AZ)</t>
        </is>
      </c>
      <c r="E9" s="15" t="inlineStr">
        <is>
          <t>NSX Overlay</t>
        </is>
      </c>
      <c r="F9" s="14" t="inlineStr">
        <is>
          <t>NSX Overlay</t>
        </is>
      </c>
      <c r="G9" s="15" t="inlineStr">
        <is>
          <t>VCF Ops for Networks</t>
        </is>
      </c>
      <c r="H9" s="15" t="inlineStr">
        <is>
          <t>AZ1/2/3</t>
        </is>
      </c>
      <c r="I9" s="15" t="inlineStr">
        <is>
          <t>Fleet segment</t>
        </is>
      </c>
    </row>
    <row r="10" ht="18" customHeight="1">
      <c r="A10" s="12" t="inlineStr">
        <is>
          <t>RT-07</t>
        </is>
      </c>
      <c r="B10" s="12" t="inlineStr">
        <is>
          <t>Identity Broker (VIDB)</t>
        </is>
      </c>
      <c r="C10" s="12">
        <f>'📋 IP Input Sheet'!D10</f>
        <v/>
      </c>
      <c r="D10" s="12" t="inlineStr">
        <is>
          <t>T0 Gateway (per AZ)</t>
        </is>
      </c>
      <c r="E10" s="12" t="inlineStr">
        <is>
          <t>NSX Overlay</t>
        </is>
      </c>
      <c r="F10" s="14" t="inlineStr">
        <is>
          <t>NSX Overlay</t>
        </is>
      </c>
      <c r="G10" s="12" t="inlineStr">
        <is>
          <t>Identity Broker</t>
        </is>
      </c>
      <c r="H10" s="12" t="inlineStr">
        <is>
          <t>AZ1/2/3</t>
        </is>
      </c>
      <c r="I10" s="12" t="inlineStr">
        <is>
          <t>Fleet segment — SSO critical path</t>
        </is>
      </c>
    </row>
    <row r="11" ht="18" customHeight="1">
      <c r="A11" s="15" t="inlineStr">
        <is>
          <t>RT-08</t>
        </is>
      </c>
      <c r="B11" s="15" t="inlineStr">
        <is>
          <t>VM Management (VLAN 2600)</t>
        </is>
      </c>
      <c r="C11" s="15">
        <f>'📋 IP Input Sheet'!D13</f>
        <v/>
      </c>
      <c r="D11" s="15" t="inlineStr">
        <is>
          <t>ToR Switch (per AZ)</t>
        </is>
      </c>
      <c r="E11" s="15" t="inlineStr">
        <is>
          <t>VLAN 2600</t>
        </is>
      </c>
      <c r="F11" s="16" t="inlineStr">
        <is>
          <t>VLAN/Static</t>
        </is>
      </c>
      <c r="G11" s="15" t="inlineStr">
        <is>
          <t>vCenter/NSX Mgr/SDDC Mgr</t>
        </is>
      </c>
      <c r="H11" s="15" t="inlineStr">
        <is>
          <t>AZ1/2/3</t>
        </is>
      </c>
      <c r="I11" s="15" t="inlineStr">
        <is>
          <t>VLAN-backed — direct physical, no NSX dependency</t>
        </is>
      </c>
    </row>
    <row r="12" ht="18" customHeight="1">
      <c r="A12" s="12" t="inlineStr">
        <is>
          <t>RT-09</t>
        </is>
      </c>
      <c r="B12" s="12" t="inlineStr">
        <is>
          <t>vCenter Server</t>
        </is>
      </c>
      <c r="C12" s="12">
        <f>'📋 IP Input Sheet'!D13</f>
        <v/>
      </c>
      <c r="D12" s="12" t="inlineStr">
        <is>
          <t>ToR Switch (per AZ)</t>
        </is>
      </c>
      <c r="E12" s="12" t="inlineStr">
        <is>
          <t>VLAN 2600</t>
        </is>
      </c>
      <c r="F12" s="12" t="inlineStr">
        <is>
          <t>Static</t>
        </is>
      </c>
      <c r="G12" s="12" t="inlineStr">
        <is>
          <t>vCenter Server</t>
        </is>
      </c>
      <c r="H12" s="12" t="inlineStr">
        <is>
          <t>AZ1/2/3</t>
        </is>
      </c>
      <c r="I12" s="12" t="inlineStr"/>
    </row>
    <row r="13" ht="18" customHeight="1">
      <c r="A13" s="15" t="inlineStr">
        <is>
          <t>RT-10</t>
        </is>
      </c>
      <c r="B13" s="15" t="inlineStr">
        <is>
          <t>NSX Manager</t>
        </is>
      </c>
      <c r="C13" s="15">
        <f>'📋 IP Input Sheet'!D14</f>
        <v/>
      </c>
      <c r="D13" s="15" t="inlineStr">
        <is>
          <t>ToR Switch (per AZ)</t>
        </is>
      </c>
      <c r="E13" s="15" t="inlineStr">
        <is>
          <t>VLAN 2600</t>
        </is>
      </c>
      <c r="F13" s="15" t="inlineStr">
        <is>
          <t>Static</t>
        </is>
      </c>
      <c r="G13" s="15" t="inlineStr">
        <is>
          <t>NSX Manager</t>
        </is>
      </c>
      <c r="H13" s="15" t="inlineStr">
        <is>
          <t>AZ1/2/3</t>
        </is>
      </c>
      <c r="I13" s="15" t="inlineStr"/>
    </row>
    <row r="14" ht="18" customHeight="1">
      <c r="A14" s="12" t="inlineStr">
        <is>
          <t>RT-11</t>
        </is>
      </c>
      <c r="B14" s="12" t="inlineStr">
        <is>
          <t>SDDC Manager</t>
        </is>
      </c>
      <c r="C14" s="12">
        <f>'📋 IP Input Sheet'!D16</f>
        <v/>
      </c>
      <c r="D14" s="12" t="inlineStr">
        <is>
          <t>ToR Switch (per AZ)</t>
        </is>
      </c>
      <c r="E14" s="12" t="inlineStr">
        <is>
          <t>VLAN 2600</t>
        </is>
      </c>
      <c r="F14" s="12" t="inlineStr">
        <is>
          <t>Static</t>
        </is>
      </c>
      <c r="G14" s="12" t="inlineStr">
        <is>
          <t>SDDC Manager</t>
        </is>
      </c>
      <c r="H14" s="12" t="inlineStr">
        <is>
          <t>AZ1/2/3</t>
        </is>
      </c>
      <c r="I14" s="12" t="inlineStr"/>
    </row>
    <row r="15" ht="18" customHeight="1">
      <c r="A15" s="15" t="inlineStr">
        <is>
          <t>RT-12</t>
        </is>
      </c>
      <c r="B15" s="15" t="inlineStr">
        <is>
          <t>ESXi Mgmt — WLD</t>
        </is>
      </c>
      <c r="C15" s="15">
        <f>'📋 IP Input Sheet'!D20</f>
        <v/>
      </c>
      <c r="D15" s="15" t="inlineStr">
        <is>
          <t>ToR Switch (per AZ)</t>
        </is>
      </c>
      <c r="E15" s="15" t="inlineStr">
        <is>
          <t>vDSW01 VM Mgmt PG</t>
        </is>
      </c>
      <c r="F15" s="15" t="inlineStr">
        <is>
          <t>Static</t>
        </is>
      </c>
      <c r="G15" s="15" t="inlineStr">
        <is>
          <t>ESXi Hosts WLD</t>
        </is>
      </c>
      <c r="H15" s="15" t="inlineStr">
        <is>
          <t>AZ1/2/3</t>
        </is>
      </c>
      <c r="I15" s="15" t="inlineStr">
        <is>
          <t>WLD cluster hosts</t>
        </is>
      </c>
    </row>
    <row r="16" ht="18" customHeight="1">
      <c r="A16" s="12" t="inlineStr">
        <is>
          <t>RT-13</t>
        </is>
      </c>
      <c r="B16" s="12" t="inlineStr">
        <is>
          <t>ESXi Mgmt — Mgmt Domain</t>
        </is>
      </c>
      <c r="C16" s="12">
        <f>'📋 IP Input Sheet'!D18</f>
        <v/>
      </c>
      <c r="D16" s="12" t="inlineStr">
        <is>
          <t>ToR Switch (per AZ)</t>
        </is>
      </c>
      <c r="E16" s="12" t="inlineStr">
        <is>
          <t>vDSM01 VM Mgmt PG</t>
        </is>
      </c>
      <c r="F16" s="12" t="inlineStr">
        <is>
          <t>Static</t>
        </is>
      </c>
      <c r="G16" s="12" t="inlineStr">
        <is>
          <t>ESXi Hosts Mgmt</t>
        </is>
      </c>
      <c r="H16" s="12" t="inlineStr">
        <is>
          <t>AZ1/2/3</t>
        </is>
      </c>
      <c r="I16" s="12" t="inlineStr">
        <is>
          <t>Mgmt domain cluster hosts</t>
        </is>
      </c>
    </row>
    <row r="17" ht="18" customHeight="1">
      <c r="A17" s="15" t="inlineStr">
        <is>
          <t>RT-14</t>
        </is>
      </c>
      <c r="B17" s="15" t="inlineStr">
        <is>
          <t>Workload Ext Subnet</t>
        </is>
      </c>
      <c r="C17" s="15">
        <f>'📋 IP Input Sheet'!D21</f>
        <v/>
      </c>
      <c r="D17" s="15" t="inlineStr">
        <is>
          <t>T0 Gateway (per AZ)</t>
        </is>
      </c>
      <c r="E17" s="15" t="inlineStr">
        <is>
          <t>NSX Edge / Uplink</t>
        </is>
      </c>
      <c r="F17" s="17" t="inlineStr">
        <is>
          <t>BGP Advertised</t>
        </is>
      </c>
      <c r="G17" s="15" t="inlineStr">
        <is>
          <t>Avi VIPs / WLD external</t>
        </is>
      </c>
      <c r="H17" s="15" t="inlineStr">
        <is>
          <t>AZ1/2/3</t>
        </is>
      </c>
      <c r="I17" s="15" t="inlineStr">
        <is>
          <t>VIP subnet — BGP advertised via Edge to ToR</t>
        </is>
      </c>
    </row>
    <row r="18" ht="18" customHeight="1">
      <c r="A18" s="12" t="inlineStr">
        <is>
          <t>RT-15</t>
        </is>
      </c>
      <c r="B18" s="12" t="inlineStr">
        <is>
          <t>DNS Server</t>
        </is>
      </c>
      <c r="C18" s="12">
        <f>'📋 IP Input Sheet'!D24</f>
        <v/>
      </c>
      <c r="D18" s="12" t="inlineStr">
        <is>
          <t>Edge Node → ToR</t>
        </is>
      </c>
      <c r="E18" s="12" t="inlineStr">
        <is>
          <t>Uplink VLAN</t>
        </is>
      </c>
      <c r="F18" s="12" t="inlineStr">
        <is>
          <t>Static</t>
        </is>
      </c>
      <c r="G18" s="12" t="inlineStr">
        <is>
          <t>All components</t>
        </is>
      </c>
      <c r="H18" s="12" t="inlineStr">
        <is>
          <t>DC-wide</t>
        </is>
      </c>
      <c r="I18" s="12" t="inlineStr">
        <is>
          <t>Outbound via Edge N-S path</t>
        </is>
      </c>
    </row>
    <row r="19" ht="18" customHeight="1">
      <c r="A19" s="15" t="inlineStr">
        <is>
          <t>RT-16</t>
        </is>
      </c>
      <c r="B19" s="15" t="inlineStr">
        <is>
          <t>NTP Server</t>
        </is>
      </c>
      <c r="C19" s="15">
        <f>'📋 IP Input Sheet'!D25</f>
        <v/>
      </c>
      <c r="D19" s="15" t="inlineStr">
        <is>
          <t>Edge Node → ToR</t>
        </is>
      </c>
      <c r="E19" s="15" t="inlineStr">
        <is>
          <t>Uplink VLAN</t>
        </is>
      </c>
      <c r="F19" s="15" t="inlineStr">
        <is>
          <t>Static</t>
        </is>
      </c>
      <c r="G19" s="15" t="inlineStr">
        <is>
          <t>All components</t>
        </is>
      </c>
      <c r="H19" s="15" t="inlineStr">
        <is>
          <t>DC-wide</t>
        </is>
      </c>
      <c r="I19" s="15" t="inlineStr"/>
    </row>
    <row r="20" ht="18" customHeight="1">
      <c r="A20" s="12" t="inlineStr">
        <is>
          <t>RT-17</t>
        </is>
      </c>
      <c r="B20" s="12" t="inlineStr">
        <is>
          <t>AD/LDAP Server</t>
        </is>
      </c>
      <c r="C20" s="12">
        <f>'📋 IP Input Sheet'!D26</f>
        <v/>
      </c>
      <c r="D20" s="12" t="inlineStr">
        <is>
          <t>Edge Node → ToR</t>
        </is>
      </c>
      <c r="E20" s="12" t="inlineStr">
        <is>
          <t>Uplink VLAN</t>
        </is>
      </c>
      <c r="F20" s="12" t="inlineStr">
        <is>
          <t>Static</t>
        </is>
      </c>
      <c r="G20" s="12" t="inlineStr">
        <is>
          <t>Fleet+Mgmt components</t>
        </is>
      </c>
      <c r="H20" s="12" t="inlineStr">
        <is>
          <t>DC-wide</t>
        </is>
      </c>
      <c r="I20" s="12" t="inlineStr"/>
    </row>
    <row r="21" ht="18" customHeight="1">
      <c r="A21" s="15" t="inlineStr">
        <is>
          <t>RT-18</t>
        </is>
      </c>
      <c r="B21" s="15" t="inlineStr">
        <is>
          <t>CA Certificate Server</t>
        </is>
      </c>
      <c r="C21" s="15">
        <f>'📋 IP Input Sheet'!D27</f>
        <v/>
      </c>
      <c r="D21" s="15" t="inlineStr">
        <is>
          <t>Edge Node → ToR</t>
        </is>
      </c>
      <c r="E21" s="15" t="inlineStr">
        <is>
          <t>Uplink VLAN</t>
        </is>
      </c>
      <c r="F21" s="15" t="inlineStr">
        <is>
          <t>Static</t>
        </is>
      </c>
      <c r="G21" s="15" t="inlineStr">
        <is>
          <t>Fleet+Mgmt components</t>
        </is>
      </c>
      <c r="H21" s="15" t="inlineStr">
        <is>
          <t>DC-wide</t>
        </is>
      </c>
      <c r="I21" s="15" t="inlineStr"/>
    </row>
    <row r="22" ht="18" customHeight="1">
      <c r="A22" s="12" t="inlineStr">
        <is>
          <t>RT-19</t>
        </is>
      </c>
      <c r="B22" s="12" t="inlineStr">
        <is>
          <t>SFTP Backup Server</t>
        </is>
      </c>
      <c r="C22" s="12">
        <f>'📋 IP Input Sheet'!D28</f>
        <v/>
      </c>
      <c r="D22" s="12" t="inlineStr">
        <is>
          <t>Edge Node → ToR</t>
        </is>
      </c>
      <c r="E22" s="12" t="inlineStr">
        <is>
          <t>Uplink VLAN</t>
        </is>
      </c>
      <c r="F22" s="12" t="inlineStr">
        <is>
          <t>Static</t>
        </is>
      </c>
      <c r="G22" s="12" t="inlineStr">
        <is>
          <t>SDDC Mgr / VCF Ops</t>
        </is>
      </c>
      <c r="H22" s="12" t="inlineStr">
        <is>
          <t>DC-wide</t>
        </is>
      </c>
      <c r="I22" s="12" t="inlineStr"/>
    </row>
    <row r="23" ht="18" customHeight="1">
      <c r="A23" s="15" t="inlineStr">
        <is>
          <t>RT-20</t>
        </is>
      </c>
      <c r="B23" s="15" t="inlineStr">
        <is>
          <t>Host TEP Subnet</t>
        </is>
      </c>
      <c r="C23" s="15" t="inlineStr">
        <is>
          <t>[VLAN TBD]</t>
        </is>
      </c>
      <c r="D23" s="15" t="inlineStr">
        <is>
          <t>Physical Fabric</t>
        </is>
      </c>
      <c r="E23" s="15" t="inlineStr">
        <is>
          <t>Host TEP VLAN</t>
        </is>
      </c>
      <c r="F23" s="16" t="inlineStr">
        <is>
          <t>VLAN</t>
        </is>
      </c>
      <c r="G23" s="15" t="inlineStr">
        <is>
          <t>NSX Host TEP</t>
        </is>
      </c>
      <c r="H23" s="15" t="inlineStr">
        <is>
          <t>Per AZ</t>
        </is>
      </c>
      <c r="I23" s="15" t="inlineStr">
        <is>
          <t>GENEVE encap — MTU must be 1600+</t>
        </is>
      </c>
    </row>
    <row r="24" ht="18" customHeight="1">
      <c r="A24" s="12" t="inlineStr">
        <is>
          <t>RT-21</t>
        </is>
      </c>
      <c r="B24" s="12" t="inlineStr">
        <is>
          <t>Edge TEP Subnet</t>
        </is>
      </c>
      <c r="C24" s="12" t="inlineStr">
        <is>
          <t>VLAN 2603</t>
        </is>
      </c>
      <c r="D24" s="12" t="inlineStr">
        <is>
          <t>Physical Fabric</t>
        </is>
      </c>
      <c r="E24" s="12" t="inlineStr">
        <is>
          <t>Edge TEP VLAN</t>
        </is>
      </c>
      <c r="F24" s="16" t="inlineStr">
        <is>
          <t>VLAN</t>
        </is>
      </c>
      <c r="G24" s="12" t="inlineStr">
        <is>
          <t>NSX Edge TEP</t>
        </is>
      </c>
      <c r="H24" s="12" t="inlineStr">
        <is>
          <t>Per AZ</t>
        </is>
      </c>
      <c r="I24" s="12" t="inlineStr">
        <is>
          <t>Edge nodes GENEVE tunnels</t>
        </is>
      </c>
    </row>
    <row r="25" ht="18" customHeight="1">
      <c r="A25" s="15" t="inlineStr">
        <is>
          <t>RT-22</t>
        </is>
      </c>
      <c r="B25" s="15" t="inlineStr">
        <is>
          <t>Remote TEP Subnet</t>
        </is>
      </c>
      <c r="C25" s="15" t="inlineStr">
        <is>
          <t>VLAN 2605</t>
        </is>
      </c>
      <c r="D25" s="15" t="inlineStr">
        <is>
          <t>Super Spine</t>
        </is>
      </c>
      <c r="E25" s="15" t="inlineStr">
        <is>
          <t>RTEP VLAN</t>
        </is>
      </c>
      <c r="F25" s="16" t="inlineStr">
        <is>
          <t>VLAN</t>
        </is>
      </c>
      <c r="G25" s="15" t="inlineStr">
        <is>
          <t>Cross-AZ tunnels</t>
        </is>
      </c>
      <c r="H25" s="15" t="inlineStr">
        <is>
          <t>DC-wide</t>
        </is>
      </c>
      <c r="I25" s="15" t="inlineStr">
        <is>
          <t>Cross-AZ NSX overlay — RTEP</t>
        </is>
      </c>
    </row>
    <row r="26" ht="18" customHeight="1">
      <c r="A26" s="12" t="inlineStr">
        <is>
          <t>RT-23</t>
        </is>
      </c>
      <c r="B26" s="12" t="inlineStr">
        <is>
          <t>Super Spine</t>
        </is>
      </c>
      <c r="C26" s="12" t="inlineStr">
        <is>
          <t>[Physical]</t>
        </is>
      </c>
      <c r="D26" s="12" t="inlineStr">
        <is>
          <t>Physical Routing</t>
        </is>
      </c>
      <c r="E26" s="12" t="inlineStr">
        <is>
          <t>Uplink 2606/2607/2608/2609</t>
        </is>
      </c>
      <c r="F26" s="17" t="inlineStr">
        <is>
          <t>BGP</t>
        </is>
      </c>
      <c r="G26" s="12" t="inlineStr">
        <is>
          <t>All AZs</t>
        </is>
      </c>
      <c r="H26" s="12" t="inlineStr">
        <is>
          <t>DC-wide</t>
        </is>
      </c>
      <c r="I26" s="12" t="inlineStr">
        <is>
          <t>BGP between Edge nodes and ToR switches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04040"/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36" customWidth="1" min="4" max="4"/>
    <col width="36" customWidth="1" min="5" max="5"/>
    <col width="44" customWidth="1" min="6" max="6"/>
  </cols>
  <sheetData>
    <row r="1" ht="28" customHeight="1">
      <c r="A1" s="11" t="inlineStr">
        <is>
          <t>AES-220  |  Unique Port Reference  |  All Fleet Firewall Ports Consolidated</t>
        </is>
      </c>
    </row>
    <row r="2" ht="22" customHeight="1">
      <c r="A2" s="3" t="inlineStr">
        <is>
          <t>Port</t>
        </is>
      </c>
      <c r="B2" s="3" t="inlineStr">
        <is>
          <t>Protocol</t>
        </is>
      </c>
      <c r="C2" s="3" t="inlineStr">
        <is>
          <t>Service</t>
        </is>
      </c>
      <c r="D2" s="3" t="inlineStr">
        <is>
          <t>Used By (Source)</t>
        </is>
      </c>
      <c r="E2" s="3" t="inlineStr">
        <is>
          <t>Used By (Destination)</t>
        </is>
      </c>
      <c r="F2" s="3" t="inlineStr">
        <is>
          <t>Notes</t>
        </is>
      </c>
    </row>
    <row r="3" ht="22" customHeight="1">
      <c r="A3" s="18" t="inlineStr">
        <is>
          <t>22</t>
        </is>
      </c>
      <c r="B3" s="15" t="inlineStr">
        <is>
          <t>TCP</t>
        </is>
      </c>
      <c r="C3" s="15" t="inlineStr">
        <is>
          <t>SSH</t>
        </is>
      </c>
      <c r="D3" s="15" t="inlineStr">
        <is>
          <t>VCF Installer, SDDC Mgr, Fleet Mgr, VCFA, VCFO</t>
        </is>
      </c>
      <c r="E3" s="15" t="inlineStr">
        <is>
          <t>ESXi, SDDC Mgr, Fleet VMs, SFTP</t>
        </is>
      </c>
      <c r="F3" s="15" t="inlineStr">
        <is>
          <t>Admin only — restrict to jump host / bastion</t>
        </is>
      </c>
    </row>
    <row r="4" ht="22" customHeight="1">
      <c r="A4" s="19" t="inlineStr">
        <is>
          <t>50</t>
        </is>
      </c>
      <c r="B4" s="12" t="inlineStr">
        <is>
          <t>ESP</t>
        </is>
      </c>
      <c r="C4" s="12" t="inlineStr">
        <is>
          <t>Encapsulating Security Payload</t>
        </is>
      </c>
      <c r="D4" s="12" t="inlineStr">
        <is>
          <t>Identity Broker</t>
        </is>
      </c>
      <c r="E4" s="12" t="inlineStr">
        <is>
          <t>ALL</t>
        </is>
      </c>
      <c r="F4" s="12" t="inlineStr">
        <is>
          <t>Used by k8s to encapsulate hidden networks — bidirectional</t>
        </is>
      </c>
    </row>
    <row r="5" ht="22" customHeight="1">
      <c r="A5" s="18" t="inlineStr">
        <is>
          <t>53</t>
        </is>
      </c>
      <c r="B5" s="15" t="inlineStr">
        <is>
          <t>TCP/UDP</t>
        </is>
      </c>
      <c r="C5" s="15" t="inlineStr">
        <is>
          <t>DNS</t>
        </is>
      </c>
      <c r="D5" s="15" t="inlineStr">
        <is>
          <t>All Fleet + VCF Components</t>
        </is>
      </c>
      <c r="E5" s="15" t="inlineStr">
        <is>
          <t>DNS Servers</t>
        </is>
      </c>
      <c r="F5" s="15" t="inlineStr">
        <is>
          <t>Bidirectional — ALL Fleet-level and VCF instance-level</t>
        </is>
      </c>
    </row>
    <row r="6" ht="22" customHeight="1">
      <c r="A6" s="19" t="inlineStr">
        <is>
          <t>123</t>
        </is>
      </c>
      <c r="B6" s="12" t="inlineStr">
        <is>
          <t>UDP</t>
        </is>
      </c>
      <c r="C6" s="12" t="inlineStr">
        <is>
          <t>NTP</t>
        </is>
      </c>
      <c r="D6" s="12" t="inlineStr">
        <is>
          <t>All Fleet + VCF Components</t>
        </is>
      </c>
      <c r="E6" s="12" t="inlineStr">
        <is>
          <t>NTP Servers</t>
        </is>
      </c>
      <c r="F6" s="12" t="inlineStr">
        <is>
          <t>Time sync — ALL VCF 9 components</t>
        </is>
      </c>
    </row>
    <row r="7" ht="22" customHeight="1">
      <c r="A7" s="18" t="inlineStr">
        <is>
          <t>161</t>
        </is>
      </c>
      <c r="B7" s="15" t="inlineStr">
        <is>
          <t>TCP</t>
        </is>
      </c>
      <c r="C7" s="15" t="inlineStr">
        <is>
          <t>SNMP</t>
        </is>
      </c>
      <c r="D7" s="15" t="inlineStr">
        <is>
          <t>VCF Ops for Networks (VON)</t>
        </is>
      </c>
      <c r="E7" s="15" t="inlineStr">
        <is>
          <t>Switches/Routers</t>
        </is>
      </c>
      <c r="F7" s="15" t="inlineStr">
        <is>
          <t>SNMP polling physical devices</t>
        </is>
      </c>
    </row>
    <row r="8" ht="22" customHeight="1">
      <c r="A8" s="19" t="inlineStr">
        <is>
          <t>389</t>
        </is>
      </c>
      <c r="B8" s="12" t="inlineStr">
        <is>
          <t>TCP/UDP</t>
        </is>
      </c>
      <c r="C8" s="12" t="inlineStr">
        <is>
          <t>LDAP</t>
        </is>
      </c>
      <c r="D8" s="12" t="inlineStr">
        <is>
          <t>VCF Ops, Identity Broker, vCenter</t>
        </is>
      </c>
      <c r="E8" s="12" t="inlineStr">
        <is>
          <t>AD/LDAP Servers</t>
        </is>
      </c>
      <c r="F8" s="12" t="inlineStr">
        <is>
          <t>Directory lookups — Active Directory integration</t>
        </is>
      </c>
    </row>
    <row r="9" ht="22" customHeight="1">
      <c r="A9" s="18" t="inlineStr">
        <is>
          <t>443</t>
        </is>
      </c>
      <c r="B9" s="15" t="inlineStr">
        <is>
          <t>TCP</t>
        </is>
      </c>
      <c r="C9" s="15" t="inlineStr">
        <is>
          <t>HTTPS</t>
        </is>
      </c>
      <c r="D9" s="15" t="inlineStr">
        <is>
          <t>All Fleet + Mgmt Components</t>
        </is>
      </c>
      <c r="E9" s="15" t="inlineStr">
        <is>
          <t>All Fleet + Mgmt Components</t>
        </is>
      </c>
      <c r="F9" s="15" t="inlineStr">
        <is>
          <t>Primary management port — most component comms</t>
        </is>
      </c>
    </row>
    <row r="10" ht="22" customHeight="1">
      <c r="A10" s="19" t="inlineStr">
        <is>
          <t>514</t>
        </is>
      </c>
      <c r="B10" s="12" t="inlineStr">
        <is>
          <t>TCP/UDP</t>
        </is>
      </c>
      <c r="C10" s="12" t="inlineStr">
        <is>
          <t>Syslog</t>
        </is>
      </c>
      <c r="D10" s="12" t="inlineStr">
        <is>
          <t>vCenter, NSX, SDDC, ESXi, VCFA</t>
        </is>
      </c>
      <c r="E10" s="12" t="inlineStr">
        <is>
          <t>VCF Ops for Logs (VOL)</t>
        </is>
      </c>
      <c r="F10" s="12" t="inlineStr">
        <is>
          <t>Remote syslog — all components log to VOL</t>
        </is>
      </c>
    </row>
    <row r="11" ht="22" customHeight="1">
      <c r="A11" s="18" t="inlineStr">
        <is>
          <t>636</t>
        </is>
      </c>
      <c r="B11" s="15" t="inlineStr">
        <is>
          <t>TCP</t>
        </is>
      </c>
      <c r="C11" s="15" t="inlineStr">
        <is>
          <t>LDAPS</t>
        </is>
      </c>
      <c r="D11" s="15" t="inlineStr">
        <is>
          <t>VCF Ops, Identity Broker, vCenter</t>
        </is>
      </c>
      <c r="E11" s="15" t="inlineStr">
        <is>
          <t>AD/LDAP Servers</t>
        </is>
      </c>
      <c r="F11" s="15" t="inlineStr">
        <is>
          <t>Secure LDAP</t>
        </is>
      </c>
    </row>
    <row r="12" ht="22" customHeight="1">
      <c r="A12" s="19" t="inlineStr">
        <is>
          <t>902</t>
        </is>
      </c>
      <c r="B12" s="12" t="inlineStr">
        <is>
          <t>TCP</t>
        </is>
      </c>
      <c r="C12" s="12" t="inlineStr">
        <is>
          <t>Heartbeat / VMRC</t>
        </is>
      </c>
      <c r="D12" s="12" t="inlineStr">
        <is>
          <t>vCenter, VCF Automation</t>
        </is>
      </c>
      <c r="E12" s="12" t="inlineStr">
        <is>
          <t>ESXi Hosts</t>
        </is>
      </c>
      <c r="F12" s="12" t="inlineStr">
        <is>
          <t>Core mgmt comms vCenter↔ESXi + VM console</t>
        </is>
      </c>
    </row>
    <row r="13" ht="22" customHeight="1">
      <c r="A13" s="18" t="inlineStr">
        <is>
          <t>1514</t>
        </is>
      </c>
      <c r="B13" s="15" t="inlineStr">
        <is>
          <t>TCP</t>
        </is>
      </c>
      <c r="C13" s="15" t="inlineStr">
        <is>
          <t>Syslog over TLS</t>
        </is>
      </c>
      <c r="D13" s="15" t="inlineStr">
        <is>
          <t>vCenter, NSX, ESXi, VCFA</t>
        </is>
      </c>
      <c r="E13" s="15" t="inlineStr">
        <is>
          <t>VCF Ops for Logs (VOL)</t>
        </is>
      </c>
      <c r="F13" s="15" t="inlineStr">
        <is>
          <t>Secure syslog TLS</t>
        </is>
      </c>
    </row>
    <row r="14" ht="22" customHeight="1">
      <c r="A14" s="19" t="inlineStr">
        <is>
          <t>2055</t>
        </is>
      </c>
      <c r="B14" s="12" t="inlineStr">
        <is>
          <t>TCP/UDP</t>
        </is>
      </c>
      <c r="C14" s="12" t="inlineStr">
        <is>
          <t>IPFIX (deprecated)</t>
        </is>
      </c>
      <c r="D14" s="12" t="inlineStr">
        <is>
          <t>vCenter, VON</t>
        </is>
      </c>
      <c r="E14" s="12" t="inlineStr">
        <is>
          <t>vDS/NSX</t>
        </is>
      </c>
      <c r="F14" s="12" t="inlineStr">
        <is>
          <t>Deprecated — use port 4739 instead</t>
        </is>
      </c>
    </row>
    <row r="15" ht="22" customHeight="1">
      <c r="A15" s="18" t="inlineStr">
        <is>
          <t>3268/3269</t>
        </is>
      </c>
      <c r="B15" s="15" t="inlineStr">
        <is>
          <t>TCP</t>
        </is>
      </c>
      <c r="C15" s="15" t="inlineStr">
        <is>
          <t>Global Catalog</t>
        </is>
      </c>
      <c r="D15" s="15" t="inlineStr">
        <is>
          <t>VCF Operations</t>
        </is>
      </c>
      <c r="E15" s="15" t="inlineStr">
        <is>
          <t>AD/LDAP Servers</t>
        </is>
      </c>
      <c r="F15" s="15" t="inlineStr">
        <is>
          <t>AD Global Catalog lookup</t>
        </is>
      </c>
    </row>
    <row r="16" ht="22" customHeight="1">
      <c r="A16" s="19" t="inlineStr">
        <is>
          <t>4739</t>
        </is>
      </c>
      <c r="B16" s="12" t="inlineStr">
        <is>
          <t>TCP/UDP</t>
        </is>
      </c>
      <c r="C16" s="12" t="inlineStr">
        <is>
          <t>IPFIX + NETFLOW</t>
        </is>
      </c>
      <c r="D16" s="12" t="inlineStr">
        <is>
          <t>ESXi, VON</t>
        </is>
      </c>
      <c r="E16" s="12" t="inlineStr">
        <is>
          <t>VON, NSX</t>
        </is>
      </c>
      <c r="F16" s="12" t="inlineStr">
        <is>
          <t>Flow analysis — replace 2055</t>
        </is>
      </c>
    </row>
    <row r="17" ht="22" customHeight="1">
      <c r="A17" s="18" t="inlineStr">
        <is>
          <t>6443</t>
        </is>
      </c>
      <c r="B17" s="15" t="inlineStr">
        <is>
          <t>TCP</t>
        </is>
      </c>
      <c r="C17" s="15" t="inlineStr">
        <is>
          <t>Kubernetes API</t>
        </is>
      </c>
      <c r="D17" s="15" t="inlineStr">
        <is>
          <t>Fleet Mgr, VCF Automation</t>
        </is>
      </c>
      <c r="E17" s="15" t="inlineStr">
        <is>
          <t>Identity Broker, VCFA</t>
        </is>
      </c>
      <c r="F17" s="15" t="inlineStr">
        <is>
          <t>Kubernetes control plane API server</t>
        </is>
      </c>
    </row>
    <row r="18" ht="22" customHeight="1">
      <c r="A18" s="19" t="inlineStr">
        <is>
          <t>6514</t>
        </is>
      </c>
      <c r="B18" s="12" t="inlineStr">
        <is>
          <t>TCP</t>
        </is>
      </c>
      <c r="C18" s="12" t="inlineStr">
        <is>
          <t>Syslog over SSL</t>
        </is>
      </c>
      <c r="D18" s="12" t="inlineStr">
        <is>
          <t>NSX Manager, VCFA</t>
        </is>
      </c>
      <c r="E18" s="12" t="inlineStr">
        <is>
          <t>VCF Ops for Logs</t>
        </is>
      </c>
      <c r="F18" s="12" t="inlineStr">
        <is>
          <t>Syslog SSL</t>
        </is>
      </c>
    </row>
    <row r="19" ht="22" customHeight="1">
      <c r="A19" s="18" t="inlineStr">
        <is>
          <t>8008</t>
        </is>
      </c>
      <c r="B19" s="15" t="inlineStr">
        <is>
          <t>TCP</t>
        </is>
      </c>
      <c r="C19" s="15" t="inlineStr">
        <is>
          <t>Health Check</t>
        </is>
      </c>
      <c r="D19" s="15" t="inlineStr">
        <is>
          <t>VCF Ops Fleet Manager</t>
        </is>
      </c>
      <c r="E19" s="15" t="inlineStr">
        <is>
          <t>VCF Automation</t>
        </is>
      </c>
      <c r="F19" s="15" t="inlineStr">
        <is>
          <t>VCFA health monitoring</t>
        </is>
      </c>
    </row>
    <row r="20" ht="22" customHeight="1">
      <c r="A20" s="19" t="inlineStr">
        <is>
          <t>8443</t>
        </is>
      </c>
      <c r="B20" s="12" t="inlineStr">
        <is>
          <t>TCP</t>
        </is>
      </c>
      <c r="C20" s="12" t="inlineStr">
        <is>
          <t>Node Manager</t>
        </is>
      </c>
      <c r="D20" s="12" t="inlineStr">
        <is>
          <t>VCF Installer, SDDC Mgr</t>
        </is>
      </c>
      <c r="E20" s="12" t="inlineStr">
        <is>
          <t>SDDC Manager, VCFO</t>
        </is>
      </c>
      <c r="F20" s="12" t="inlineStr">
        <is>
          <t>Internal service comms bringup</t>
        </is>
      </c>
    </row>
    <row r="21" ht="22" customHeight="1">
      <c r="A21" s="18" t="inlineStr">
        <is>
          <t>9000</t>
        </is>
      </c>
      <c r="B21" s="15" t="inlineStr">
        <is>
          <t>TCP</t>
        </is>
      </c>
      <c r="C21" s="15" t="inlineStr">
        <is>
          <t>Log Ingestion API</t>
        </is>
      </c>
      <c r="D21" s="15" t="inlineStr">
        <is>
          <t>SDDC Mgr, VCFA</t>
        </is>
      </c>
      <c r="E21" s="15" t="inlineStr">
        <is>
          <t>VCF Ops for Logs</t>
        </is>
      </c>
      <c r="F21" s="15" t="inlineStr">
        <is>
          <t>CFAPI — unencrypted; prefer 9543</t>
        </is>
      </c>
    </row>
    <row r="22" ht="22" customHeight="1">
      <c r="A22" s="19" t="inlineStr">
        <is>
          <t>9443</t>
        </is>
      </c>
      <c r="B22" s="12" t="inlineStr">
        <is>
          <t>TCP</t>
        </is>
      </c>
      <c r="C22" s="12" t="inlineStr">
        <is>
          <t>Lifecycle Mgmt</t>
        </is>
      </c>
      <c r="D22" s="12" t="inlineStr">
        <is>
          <t>VCF Installer</t>
        </is>
      </c>
      <c r="E22" s="12" t="inlineStr">
        <is>
          <t>SDDC Manager</t>
        </is>
      </c>
      <c r="F22" s="12" t="inlineStr">
        <is>
          <t>vSphere webclient + LCM — bringup</t>
        </is>
      </c>
    </row>
    <row r="23" ht="22" customHeight="1">
      <c r="A23" s="18" t="inlineStr">
        <is>
          <t>9543</t>
        </is>
      </c>
      <c r="B23" s="15" t="inlineStr">
        <is>
          <t>TCP</t>
        </is>
      </c>
      <c r="C23" s="15" t="inlineStr">
        <is>
          <t>Secure Log Ingestion</t>
        </is>
      </c>
      <c r="D23" s="15" t="inlineStr">
        <is>
          <t>SDDC Mgr, VCFA</t>
        </is>
      </c>
      <c r="E23" s="15" t="inlineStr">
        <is>
          <t>VCF Ops for Logs</t>
        </is>
      </c>
      <c r="F23" s="15" t="inlineStr">
        <is>
          <t>CFAPI over SSL — preferred over 9000</t>
        </is>
      </c>
    </row>
    <row r="24" ht="22" customHeight="1">
      <c r="A24" s="19" t="inlineStr">
        <is>
          <t>10443</t>
        </is>
      </c>
      <c r="B24" s="12" t="inlineStr">
        <is>
          <t>TCP</t>
        </is>
      </c>
      <c r="C24" s="12" t="inlineStr">
        <is>
          <t>vCenter Inventory</t>
        </is>
      </c>
      <c r="D24" s="12" t="inlineStr">
        <is>
          <t>VCF Operations</t>
        </is>
      </c>
      <c r="E24" s="12" t="inlineStr">
        <is>
          <t>vCenter Server</t>
        </is>
      </c>
      <c r="F24" s="12" t="inlineStr">
        <is>
          <t>Inventory service</t>
        </is>
      </c>
    </row>
    <row r="25" ht="22" customHeight="1">
      <c r="A25" s="18" t="inlineStr">
        <is>
          <t>30000</t>
        </is>
      </c>
      <c r="B25" s="15" t="inlineStr">
        <is>
          <t>TCP</t>
        </is>
      </c>
      <c r="C25" s="15" t="inlineStr">
        <is>
          <t>Container Images</t>
        </is>
      </c>
      <c r="D25" s="15" t="inlineStr">
        <is>
          <t>Fleet Mgr</t>
        </is>
      </c>
      <c r="E25" s="15" t="inlineStr">
        <is>
          <t>VCFA + VIDB</t>
        </is>
      </c>
      <c r="F25" s="15" t="inlineStr">
        <is>
          <t>k8s/VKS OCI registry</t>
        </is>
      </c>
    </row>
    <row r="26" ht="22" customHeight="1">
      <c r="A26" s="19" t="inlineStr">
        <is>
          <t>30001</t>
        </is>
      </c>
      <c r="B26" s="12" t="inlineStr">
        <is>
          <t>TCP</t>
        </is>
      </c>
      <c r="C26" s="12" t="inlineStr">
        <is>
          <t>Container Images</t>
        </is>
      </c>
      <c r="D26" s="12" t="inlineStr">
        <is>
          <t>Fleet Mgr</t>
        </is>
      </c>
      <c r="E26" s="12" t="inlineStr">
        <is>
          <t>VCFA + VIDB</t>
        </is>
      </c>
      <c r="F26" s="12" t="inlineStr">
        <is>
          <t>k8s/VKS OCI registry</t>
        </is>
      </c>
    </row>
    <row r="27" ht="22" customHeight="1">
      <c r="A27" s="18" t="inlineStr">
        <is>
          <t>30005</t>
        </is>
      </c>
      <c r="B27" s="15" t="inlineStr">
        <is>
          <t>TCP</t>
        </is>
      </c>
      <c r="C27" s="15" t="inlineStr">
        <is>
          <t>VCFA/VIDB API</t>
        </is>
      </c>
      <c r="D27" s="15" t="inlineStr">
        <is>
          <t>Fleet Mgr</t>
        </is>
      </c>
      <c r="E27" s="15" t="inlineStr">
        <is>
          <t>VCFA + VIDB</t>
        </is>
      </c>
      <c r="F27" s="15" t="inlineStr">
        <is>
          <t>Webhooks — day2 ops triggers</t>
        </is>
      </c>
    </row>
    <row r="28" ht="22" customHeight="1">
      <c r="A28" s="19" t="inlineStr">
        <is>
          <t>30006</t>
        </is>
      </c>
      <c r="B28" s="12" t="inlineStr">
        <is>
          <t>TCP</t>
        </is>
      </c>
      <c r="C28" s="12" t="inlineStr">
        <is>
          <t>Health Validation</t>
        </is>
      </c>
      <c r="D28" s="12" t="inlineStr">
        <is>
          <t>Fleet Mgr</t>
        </is>
      </c>
      <c r="E28" s="12" t="inlineStr">
        <is>
          <t>VCFA + VIDB</t>
        </is>
      </c>
      <c r="F28" s="12" t="inlineStr">
        <is>
          <t>Pre-LCM health check</t>
        </is>
      </c>
    </row>
    <row r="29" ht="22" customHeight="1">
      <c r="A29" s="18" t="inlineStr">
        <is>
          <t>ICMP</t>
        </is>
      </c>
      <c r="B29" s="15" t="inlineStr">
        <is>
          <t>ICMP</t>
        </is>
      </c>
      <c r="C29" s="15" t="inlineStr">
        <is>
          <t>Ping/Traceroute</t>
        </is>
      </c>
      <c r="D29" s="15" t="inlineStr">
        <is>
          <t>ALL Fleet + Mgmt Components</t>
        </is>
      </c>
      <c r="E29" s="15" t="inlineStr">
        <is>
          <t>ALL Fleet + Mgmt Components</t>
        </is>
      </c>
      <c r="F29" s="15" t="inlineStr">
        <is>
          <t>MANDATORY — ALL fleet-level &amp; VCF instance-level components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2026-03-11T16:45:06Z</dcterms:created>
  <dcterms:modified xmlns:dcterms="http://purl.org/dc/terms/" xmlns:xsi="http://www.w3.org/2001/XMLSchema-instance" xsi:type="dcterms:W3CDTF">2026-03-11T16:45:06Z</dcterms:modified>
</cp:coreProperties>
</file>