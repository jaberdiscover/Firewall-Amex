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vsayyapa/Downloads/"/>
    </mc:Choice>
  </mc:AlternateContent>
  <xr:revisionPtr revIDLastSave="0" documentId="13_ncr:1_{411695DF-0DE9-7347-B477-7A4253663DFA}" xr6:coauthVersionLast="47" xr6:coauthVersionMax="47" xr10:uidLastSave="{00000000-0000-0000-0000-000000000000}"/>
  <bookViews>
    <workbookView xWindow="-19460" yWindow="-21000" windowWidth="51200" windowHeight="21000" xr2:uid="{00000000-000D-0000-FFFF-FFFF00000000}"/>
  </bookViews>
  <sheets>
    <sheet name="IP Input Sheet" sheetId="1" r:id="rId1"/>
    <sheet name=" Fleet → Mgmt+WLD" sheetId="2" r:id="rId2"/>
    <sheet name="Mgmt+WLD → Fleet" sheetId="3" r:id="rId3"/>
    <sheet name="Fleet → External" sheetId="4" r:id="rId4"/>
    <sheet name=" Route Table" sheetId="5" r:id="rId5"/>
    <sheet name="Port Summary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5" l="1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F18" i="4"/>
  <c r="D18" i="4"/>
  <c r="F17" i="4"/>
  <c r="D17" i="4"/>
  <c r="F16" i="4"/>
  <c r="D16" i="4"/>
  <c r="F15" i="4"/>
  <c r="D15" i="4"/>
  <c r="D14" i="4"/>
  <c r="F13" i="4"/>
  <c r="D13" i="4"/>
  <c r="F12" i="4"/>
  <c r="D12" i="4"/>
  <c r="F11" i="4"/>
  <c r="D11" i="4"/>
  <c r="F10" i="4"/>
  <c r="D10" i="4"/>
  <c r="F9" i="4"/>
  <c r="D9" i="4"/>
  <c r="F8" i="4"/>
  <c r="D8" i="4"/>
  <c r="F7" i="4"/>
  <c r="D7" i="4"/>
  <c r="F6" i="4"/>
  <c r="D6" i="4"/>
  <c r="F5" i="4"/>
  <c r="D5" i="4"/>
  <c r="F4" i="4"/>
  <c r="D4" i="4"/>
  <c r="F35" i="3"/>
  <c r="D35" i="3"/>
  <c r="F34" i="3"/>
  <c r="D34" i="3"/>
  <c r="F33" i="3"/>
  <c r="D33" i="3"/>
  <c r="F32" i="3"/>
  <c r="D32" i="3"/>
  <c r="F30" i="3"/>
  <c r="D30" i="3"/>
  <c r="F29" i="3"/>
  <c r="D29" i="3"/>
  <c r="F28" i="3"/>
  <c r="D28" i="3"/>
  <c r="F27" i="3"/>
  <c r="D27" i="3"/>
  <c r="F26" i="3"/>
  <c r="D26" i="3"/>
  <c r="F25" i="3"/>
  <c r="D25" i="3"/>
  <c r="F24" i="3"/>
  <c r="D24" i="3"/>
  <c r="F23" i="3"/>
  <c r="D23" i="3"/>
  <c r="F22" i="3"/>
  <c r="D22" i="3"/>
  <c r="F21" i="3"/>
  <c r="D21" i="3"/>
  <c r="F20" i="3"/>
  <c r="D20" i="3"/>
  <c r="F19" i="3"/>
  <c r="D19" i="3"/>
  <c r="F18" i="3"/>
  <c r="D18" i="3"/>
  <c r="F17" i="3"/>
  <c r="D17" i="3"/>
  <c r="F16" i="3"/>
  <c r="D16" i="3"/>
  <c r="F15" i="3"/>
  <c r="D15" i="3"/>
  <c r="F14" i="3"/>
  <c r="D14" i="3"/>
  <c r="F13" i="3"/>
  <c r="D13" i="3"/>
  <c r="F12" i="3"/>
  <c r="D12" i="3"/>
  <c r="F11" i="3"/>
  <c r="D11" i="3"/>
  <c r="F10" i="3"/>
  <c r="D10" i="3"/>
  <c r="F9" i="3"/>
  <c r="D9" i="3"/>
  <c r="F8" i="3"/>
  <c r="D8" i="3"/>
  <c r="F7" i="3"/>
  <c r="D7" i="3"/>
  <c r="F6" i="3"/>
  <c r="D6" i="3"/>
  <c r="F5" i="3"/>
  <c r="D5" i="3"/>
  <c r="F4" i="3"/>
  <c r="D4" i="3"/>
  <c r="F55" i="2"/>
  <c r="D55" i="2"/>
  <c r="F54" i="2"/>
  <c r="D54" i="2"/>
  <c r="F53" i="2"/>
  <c r="D53" i="2"/>
  <c r="F52" i="2"/>
  <c r="D52" i="2"/>
  <c r="F51" i="2"/>
  <c r="D51" i="2"/>
  <c r="F50" i="2"/>
  <c r="D50" i="2"/>
  <c r="F49" i="2"/>
  <c r="D49" i="2"/>
  <c r="F48" i="2"/>
  <c r="D48" i="2"/>
  <c r="F47" i="2"/>
  <c r="D47" i="2"/>
  <c r="F46" i="2"/>
  <c r="D46" i="2"/>
  <c r="F45" i="2"/>
  <c r="D45" i="2"/>
  <c r="F44" i="2"/>
  <c r="D44" i="2"/>
  <c r="F43" i="2"/>
  <c r="D43" i="2"/>
  <c r="F42" i="2"/>
  <c r="D42" i="2"/>
  <c r="F41" i="2"/>
  <c r="D41" i="2"/>
  <c r="D40" i="2"/>
  <c r="F39" i="2"/>
  <c r="D39" i="2"/>
  <c r="F38" i="2"/>
  <c r="D38" i="2"/>
  <c r="F37" i="2"/>
  <c r="D37" i="2"/>
  <c r="F36" i="2"/>
  <c r="D36" i="2"/>
  <c r="F35" i="2"/>
  <c r="D35" i="2"/>
  <c r="F34" i="2"/>
  <c r="D34" i="2"/>
  <c r="F33" i="2"/>
  <c r="D33" i="2"/>
  <c r="F32" i="2"/>
  <c r="D32" i="2"/>
  <c r="F31" i="2"/>
  <c r="D31" i="2"/>
  <c r="F30" i="2"/>
  <c r="D30" i="2"/>
  <c r="F29" i="2"/>
  <c r="D29" i="2"/>
  <c r="F28" i="2"/>
  <c r="D28" i="2"/>
  <c r="F27" i="2"/>
  <c r="D27" i="2"/>
  <c r="F26" i="2"/>
  <c r="D26" i="2"/>
  <c r="F25" i="2"/>
  <c r="D25" i="2"/>
  <c r="F24" i="2"/>
  <c r="D24" i="2"/>
  <c r="F23" i="2"/>
  <c r="D23" i="2"/>
  <c r="F22" i="2"/>
  <c r="D22" i="2"/>
  <c r="F21" i="2"/>
  <c r="D21" i="2"/>
  <c r="F20" i="2"/>
  <c r="D20" i="2"/>
  <c r="F19" i="2"/>
  <c r="D19" i="2"/>
  <c r="F18" i="2"/>
  <c r="D18" i="2"/>
  <c r="F17" i="2"/>
  <c r="D17" i="2"/>
  <c r="F16" i="2"/>
  <c r="D16" i="2"/>
  <c r="F15" i="2"/>
  <c r="D15" i="2"/>
  <c r="F14" i="2"/>
  <c r="D14" i="2"/>
  <c r="F13" i="2"/>
  <c r="D13" i="2"/>
  <c r="F12" i="2"/>
  <c r="D12" i="2"/>
  <c r="F11" i="2"/>
  <c r="D11" i="2"/>
  <c r="F10" i="2"/>
  <c r="D10" i="2"/>
  <c r="F9" i="2"/>
  <c r="D9" i="2"/>
  <c r="F8" i="2"/>
  <c r="D8" i="2"/>
  <c r="F7" i="2"/>
  <c r="D7" i="2"/>
  <c r="F6" i="2"/>
  <c r="D6" i="2"/>
  <c r="F5" i="2"/>
  <c r="D5" i="2"/>
  <c r="F4" i="2"/>
  <c r="D4" i="2"/>
</calcChain>
</file>

<file path=xl/sharedStrings.xml><?xml version="1.0" encoding="utf-8"?>
<sst xmlns="http://schemas.openxmlformats.org/spreadsheetml/2006/main" count="1830" uniqueCount="847">
  <si>
    <t>AES-220  |  IP Address Input Sheet  |  Enter all IP values here</t>
  </si>
  <si>
    <t>Fill in the IP/Subnet for each component. All firewall rule tabs will auto-populate.</t>
  </si>
  <si>
    <t>#</t>
  </si>
  <si>
    <t>Component / Service</t>
  </si>
  <si>
    <t>Named Range Key</t>
  </si>
  <si>
    <t>AZ1  IP / Subnet</t>
  </si>
  <si>
    <t>AZ2  IP / Subnet</t>
  </si>
  <si>
    <t>AZ3  IP / Subnet</t>
  </si>
  <si>
    <t>🔷  FLEET COMPONENTS  (NSX Overlay Segment)</t>
  </si>
  <si>
    <t>F1</t>
  </si>
  <si>
    <t>VCF Operations Fleet Manager</t>
  </si>
  <si>
    <t>FLEET_MGR</t>
  </si>
  <si>
    <t>10.3.118.28</t>
  </si>
  <si>
    <t>10.5.59.28</t>
  </si>
  <si>
    <t>F2</t>
  </si>
  <si>
    <t>VCF Operations (VCFO)</t>
  </si>
  <si>
    <t>VCFO</t>
  </si>
  <si>
    <t>10.5.25.64/26</t>
  </si>
  <si>
    <t>F3</t>
  </si>
  <si>
    <t>VCF Automation (VCFA)</t>
  </si>
  <si>
    <t>VCFA</t>
  </si>
  <si>
    <t>F4</t>
  </si>
  <si>
    <t>VCF Operations for Logs (VOL)</t>
  </si>
  <si>
    <t>VOL</t>
  </si>
  <si>
    <t>F5</t>
  </si>
  <si>
    <t>VCF Operations for Networks (VON)</t>
  </si>
  <si>
    <t>VON</t>
  </si>
  <si>
    <t>F6</t>
  </si>
  <si>
    <t>Identity Broker (VIDB)</t>
  </si>
  <si>
    <t>VIDB</t>
  </si>
  <si>
    <t>10.3.118.0/24</t>
  </si>
  <si>
    <t>10.5.59.0/24</t>
  </si>
  <si>
    <t>F7</t>
  </si>
  <si>
    <t>Fleet Overlay Subnet (overall)</t>
  </si>
  <si>
    <t>FLEET_SUBNET</t>
  </si>
  <si>
    <t>🔷  MANAGEMENT DOMAIN COMPONENTS  (VLAN 2600 — per AZ)</t>
  </si>
  <si>
    <t>M1</t>
  </si>
  <si>
    <t>vCenter Server</t>
  </si>
  <si>
    <t>VCENTER</t>
  </si>
  <si>
    <t>10.3.118.18</t>
  </si>
  <si>
    <t>M2</t>
  </si>
  <si>
    <t>NSX Manager (Local)</t>
  </si>
  <si>
    <t>NSX_MGR</t>
  </si>
  <si>
    <t>M3</t>
  </si>
  <si>
    <t>NSX Global Manager</t>
  </si>
  <si>
    <t>NSX_GM</t>
  </si>
  <si>
    <t>M4</t>
  </si>
  <si>
    <t>SDDC Manager</t>
  </si>
  <si>
    <t>SDDC_MGR</t>
  </si>
  <si>
    <t>10.3.118.30</t>
  </si>
  <si>
    <t>10.5.59.30</t>
  </si>
  <si>
    <t>M5</t>
  </si>
  <si>
    <t>VCF Operations Collector</t>
  </si>
  <si>
    <t>VCFO_COLL</t>
  </si>
  <si>
    <t>10.3.118.35</t>
  </si>
  <si>
    <t>10.5.59.35</t>
  </si>
  <si>
    <t>M6</t>
  </si>
  <si>
    <t>ESXi Mgmt Subnet — Mgmt Domain</t>
  </si>
  <si>
    <t>ESXI_MGMT_MD</t>
  </si>
  <si>
    <t>10.5.58.0/24</t>
  </si>
  <si>
    <t>M7</t>
  </si>
  <si>
    <t>VCF OPS for Network Collector</t>
  </si>
  <si>
    <t>VON_COLL</t>
  </si>
  <si>
    <t>10.3.118.101</t>
  </si>
  <si>
    <t>🔷  EDGE CLUSTER UPLINKS  (per AZ — ToR Peer IPs from Network Team)</t>
  </si>
  <si>
    <t>EU1</t>
  </si>
  <si>
    <t>Edge 1  —  Uplink 1  (VLAN 2606 — Rack 1)</t>
  </si>
  <si>
    <t>EDGE1_UPL1</t>
  </si>
  <si>
    <t>EU2</t>
  </si>
  <si>
    <t>Edge 1  —  Uplink 2  (VLAN 2607 — Rack 1)</t>
  </si>
  <si>
    <t>EDGE1_UPL2</t>
  </si>
  <si>
    <t>EU3</t>
  </si>
  <si>
    <t>Edge 2  —  Uplink 1  (VLAN 2606 — Rack 1)</t>
  </si>
  <si>
    <t>EDGE2_UPL1</t>
  </si>
  <si>
    <t>EU4</t>
  </si>
  <si>
    <t>Edge 2  —  Uplink 2  (VLAN 2607 — Rack 1)</t>
  </si>
  <si>
    <t>EDGE2_UPL2</t>
  </si>
  <si>
    <t>EU5</t>
  </si>
  <si>
    <t>Edge 3  —  Uplink 1  (VLAN 2608 — Rack 2)</t>
  </si>
  <si>
    <t>EDGE3_UPL1</t>
  </si>
  <si>
    <t>EU6</t>
  </si>
  <si>
    <t>Edge 3  —  Uplink 2  (VLAN 2609 — Rack 2)</t>
  </si>
  <si>
    <t>EDGE3_UPL2</t>
  </si>
  <si>
    <t>EU7</t>
  </si>
  <si>
    <t>Edge 4  —  Uplink 1  (VLAN 2608 — Rack 2)</t>
  </si>
  <si>
    <t>EDGE4_UPL1</t>
  </si>
  <si>
    <t>EU8</t>
  </si>
  <si>
    <t>Edge 4  —  Uplink 2  (VLAN 2609 — Rack 2)</t>
  </si>
  <si>
    <t>EDGE4_UPL2</t>
  </si>
  <si>
    <t>EU9</t>
  </si>
  <si>
    <t>Edge TEP Subnet  (VLAN 2603 — intra-AZ HA + GENEVE)</t>
  </si>
  <si>
    <t>EDGE_TEP</t>
  </si>
  <si>
    <t>EU10</t>
  </si>
  <si>
    <t>Remote TEP Subnet  (VLAN 2605 — cross-AZ GENEVE)</t>
  </si>
  <si>
    <t>EDGE_RTEP</t>
  </si>
  <si>
    <t>EU11</t>
  </si>
  <si>
    <t>ToR BGP Peer IPs  (Network Team — ToR SVI)</t>
  </si>
  <si>
    <t>TOR_BGP_PEER</t>
  </si>
  <si>
    <t>🔷  WORKLOAD DOMAIN  (per AZ)</t>
  </si>
  <si>
    <t>W1</t>
  </si>
  <si>
    <t>ESXi Mgmt Subnet — WLD</t>
  </si>
  <si>
    <t>ESXI_MGMT_WLD</t>
  </si>
  <si>
    <t>W2</t>
  </si>
  <si>
    <t>Workload Ext Subnet</t>
  </si>
  <si>
    <t>WLD_EXT</t>
  </si>
  <si>
    <t>W3</t>
  </si>
  <si>
    <t>VPC Segment Subnet</t>
  </si>
  <si>
    <t>VPC_SEG</t>
  </si>
  <si>
    <t>W4</t>
  </si>
  <si>
    <t>vCenter Server (WLD)</t>
  </si>
  <si>
    <t>VCENTER_WLD</t>
  </si>
  <si>
    <t>W5</t>
  </si>
  <si>
    <t>NSX Manager (WLD)</t>
  </si>
  <si>
    <t>NSX_MGR_WLD</t>
  </si>
  <si>
    <t>🔷  EXTERNAL SERVICES  (shared — no AZ split needed)</t>
  </si>
  <si>
    <t>E1</t>
  </si>
  <si>
    <t>DNS Server</t>
  </si>
  <si>
    <t>DNS_SRV</t>
  </si>
  <si>
    <t>N/A — shared</t>
  </si>
  <si>
    <t>E2</t>
  </si>
  <si>
    <t>NTP Server</t>
  </si>
  <si>
    <t>NTP_SRV</t>
  </si>
  <si>
    <t>E3</t>
  </si>
  <si>
    <t>AD / LDAP Server</t>
  </si>
  <si>
    <t>AD_SRV</t>
  </si>
  <si>
    <t>E4</t>
  </si>
  <si>
    <t>CA Certificate Server</t>
  </si>
  <si>
    <t>CA_SRV</t>
  </si>
  <si>
    <t>E5</t>
  </si>
  <si>
    <t>SFTP Backup Server</t>
  </si>
  <si>
    <t>SFTP_SRV</t>
  </si>
  <si>
    <t>E6</t>
  </si>
  <si>
    <t>Artifactory / Depot</t>
  </si>
  <si>
    <t>ARTIF_SRV</t>
  </si>
  <si>
    <t>LEGEND:</t>
  </si>
  <si>
    <t>Yellow cells = enter IP/subnet here</t>
  </si>
  <si>
    <t>Grey = not applicable (shared services)</t>
  </si>
  <si>
    <t>AES-220  |  Firewall Rules  |  Fleet → Management Domain &amp; WLD ESXi Hosts</t>
  </si>
  <si>
    <t>Source IP and Destination IP auto-populate from 'IP Input Sheet'.  Fill in IPs there first.</t>
  </si>
  <si>
    <t>Rule Name</t>
  </si>
  <si>
    <t>Source Component</t>
  </si>
  <si>
    <t>Source IP / Subnet</t>
  </si>
  <si>
    <t>Destination Component</t>
  </si>
  <si>
    <t>Destination IP / Subnet</t>
  </si>
  <si>
    <t>Port</t>
  </si>
  <si>
    <t>Protocol</t>
  </si>
  <si>
    <t>Service / Application</t>
  </si>
  <si>
    <t>Action</t>
  </si>
  <si>
    <t>Firewall Type</t>
  </si>
  <si>
    <t>Flow Direction</t>
  </si>
  <si>
    <t>Notes</t>
  </si>
  <si>
    <t>FM-01</t>
  </si>
  <si>
    <t>Fleet Mgr → SDDC Mgmt</t>
  </si>
  <si>
    <t>443</t>
  </si>
  <si>
    <t>TCP</t>
  </si>
  <si>
    <t>Lifecycle Management</t>
  </si>
  <si>
    <t>Allow</t>
  </si>
  <si>
    <t>Gateway FW</t>
  </si>
  <si>
    <t>Outbound</t>
  </si>
  <si>
    <t>Ticket req #3 — Fleet→Mgmt</t>
  </si>
  <si>
    <t>FM-02</t>
  </si>
  <si>
    <t>Fleet Mgr → VCF Operations</t>
  </si>
  <si>
    <t>VCF Ops collector metrics</t>
  </si>
  <si>
    <t>Bidirectional</t>
  </si>
  <si>
    <t>FM-03</t>
  </si>
  <si>
    <t>Fleet Mgr → vCenter</t>
  </si>
  <si>
    <t>vCenter config &amp; mgmt tasks</t>
  </si>
  <si>
    <t>FM-04</t>
  </si>
  <si>
    <t>Fleet Mgr → NSX Manager</t>
  </si>
  <si>
    <t>NSX Manager</t>
  </si>
  <si>
    <t>NSX networking &amp; security config</t>
  </si>
  <si>
    <t>FM-05</t>
  </si>
  <si>
    <t>Fleet Mgr → DNS</t>
  </si>
  <si>
    <t>53</t>
  </si>
  <si>
    <t>TCP/UDP</t>
  </si>
  <si>
    <t>Name resolution</t>
  </si>
  <si>
    <t>All Fleet+VCF components</t>
  </si>
  <si>
    <t>FM-06</t>
  </si>
  <si>
    <t>Fleet Mgr → NTP</t>
  </si>
  <si>
    <t>123</t>
  </si>
  <si>
    <t>UDP</t>
  </si>
  <si>
    <t>Time synchronisation</t>
  </si>
  <si>
    <t>FM-07</t>
  </si>
  <si>
    <t>Fleet Mgr → ESXi (HTTPS)</t>
  </si>
  <si>
    <t>ESXi Hosts (WLD)</t>
  </si>
  <si>
    <t>Secure web services / APIs</t>
  </si>
  <si>
    <t>FM-08</t>
  </si>
  <si>
    <t>Fleet Mgr → VCFA (SSH)</t>
  </si>
  <si>
    <t>VCF Automation</t>
  </si>
  <si>
    <t>22</t>
  </si>
  <si>
    <t>SSH lifecycle tasks</t>
  </si>
  <si>
    <t>Admin  restrict to jump host</t>
  </si>
  <si>
    <t>FM-09</t>
  </si>
  <si>
    <t>Fleet Mgr → VCFA+VIDB (6443)</t>
  </si>
  <si>
    <t>Identity Broker &amp; VCF Automation</t>
  </si>
  <si>
    <t>6443</t>
  </si>
  <si>
    <t>Control Plane API (k8s apiserver)</t>
  </si>
  <si>
    <t>FM-10</t>
  </si>
  <si>
    <t>Fleet Mgr → VCFA+VIDB (30006)</t>
  </si>
  <si>
    <t>30006</t>
  </si>
  <si>
    <t>Validates VCFA health pre-LCM</t>
  </si>
  <si>
    <t>FM-11</t>
  </si>
  <si>
    <t>Fleet Mgr → VCFA+VIDB (30005)</t>
  </si>
  <si>
    <t>30005</t>
  </si>
  <si>
    <t>API calls to VIDB &amp; VCFA</t>
  </si>
  <si>
    <t>FM-12</t>
  </si>
  <si>
    <t>Fleet Mgr → VCFA+VIDB (30001)</t>
  </si>
  <si>
    <t>30001</t>
  </si>
  <si>
    <t>Container images (k8s/VKS)</t>
  </si>
  <si>
    <t>FM-13</t>
  </si>
  <si>
    <t>Fleet Mgr → VCFA+VIDB (30000)</t>
  </si>
  <si>
    <t>30000</t>
  </si>
  <si>
    <t>FM-14</t>
  </si>
  <si>
    <t>Fleet Mgr → VCFA health</t>
  </si>
  <si>
    <t>8008</t>
  </si>
  <si>
    <t>Health check monitoring</t>
  </si>
  <si>
    <t>VO-01</t>
  </si>
  <si>
    <t>VCF Ops → NTP</t>
  </si>
  <si>
    <t>Time sync — primary/replica/data nodes</t>
  </si>
  <si>
    <t>VO-02</t>
  </si>
  <si>
    <t>VCF Ops → DNS</t>
  </si>
  <si>
    <t>DNS resolution</t>
  </si>
  <si>
    <t>VO-03</t>
  </si>
  <si>
    <t>VCF Ops → LDAP</t>
  </si>
  <si>
    <t>AD/LDAP Server</t>
  </si>
  <si>
    <t>389</t>
  </si>
  <si>
    <t>LDAP directory</t>
  </si>
  <si>
    <t>VO-04</t>
  </si>
  <si>
    <t>VCF Ops → LDAPS</t>
  </si>
  <si>
    <t>636</t>
  </si>
  <si>
    <t>LDAPS secure directory</t>
  </si>
  <si>
    <t>VO-05</t>
  </si>
  <si>
    <t>VCF Ops → Global Catalog</t>
  </si>
  <si>
    <t>3268/3269</t>
  </si>
  <si>
    <t>Global Catalog AD</t>
  </si>
  <si>
    <t>VO-06</t>
  </si>
  <si>
    <t>VCF Ops → SFTP</t>
  </si>
  <si>
    <t>SFTP Server</t>
  </si>
  <si>
    <t>External backup</t>
  </si>
  <si>
    <t>VO-07</t>
  </si>
  <si>
    <t>VCF Ops → vCenter (inventory)</t>
  </si>
  <si>
    <t>10443</t>
  </si>
  <si>
    <t>vCenter inventory service</t>
  </si>
  <si>
    <t>VO-08</t>
  </si>
  <si>
    <t>VCF Ops → vCenter (HTTPS)</t>
  </si>
  <si>
    <t>HTTPS API comms</t>
  </si>
  <si>
    <t>VO-09</t>
  </si>
  <si>
    <t>VCF Ops → ESXi</t>
  </si>
  <si>
    <t>Management operations</t>
  </si>
  <si>
    <t>VO-10</t>
  </si>
  <si>
    <t>VCF Ops → NSX Manager</t>
  </si>
  <si>
    <t>NSX API metrics/inventory</t>
  </si>
  <si>
    <t>VA-01</t>
  </si>
  <si>
    <t>VCF Auto → vCenter</t>
  </si>
  <si>
    <t>API and Web Access — mgmt+API</t>
  </si>
  <si>
    <t>VA-02</t>
  </si>
  <si>
    <t>VCF Auto → ESXi (902)</t>
  </si>
  <si>
    <t>902</t>
  </si>
  <si>
    <t>VM Console VMRC/MKS</t>
  </si>
  <si>
    <t>VA-03</t>
  </si>
  <si>
    <t>VCF Auto → ESXi (443)</t>
  </si>
  <si>
    <t>Web Console</t>
  </si>
  <si>
    <t>VA-04</t>
  </si>
  <si>
    <t>VCF Auto → ESXi (SSH)</t>
  </si>
  <si>
    <t>SSH</t>
  </si>
  <si>
    <t>Admin restrict to jump host</t>
  </si>
  <si>
    <t>VA-05</t>
  </si>
  <si>
    <t>VCF Auto → NSX Mgr</t>
  </si>
  <si>
    <t>NSX Manager Cluster</t>
  </si>
  <si>
    <t>NSX Manager API HTTPS — policy provisioning</t>
  </si>
  <si>
    <t>VA-06</t>
  </si>
  <si>
    <t>VCF Auto → Supervisor VIP (443)</t>
  </si>
  <si>
    <t>Supervisor Control Plane VIP</t>
  </si>
  <si>
    <t>vSphere Supervisor API via LB</t>
  </si>
  <si>
    <t>VA-07</t>
  </si>
  <si>
    <t>VCF Auto → Supervisor VIP (6443)</t>
  </si>
  <si>
    <t>Kubernetes API server</t>
  </si>
  <si>
    <t>VN-01</t>
  </si>
  <si>
    <t>VON → vCenter (IPFIX)</t>
  </si>
  <si>
    <t>VCF Ops for Networks (VON)</t>
  </si>
  <si>
    <t>2055</t>
  </si>
  <si>
    <t>IPFIX (deprecated → use 4739)</t>
  </si>
  <si>
    <t>Port 2055 deprecated</t>
  </si>
  <si>
    <t>VN-02</t>
  </si>
  <si>
    <t>VON → ESXi (IPFIX)</t>
  </si>
  <si>
    <t>4739</t>
  </si>
  <si>
    <t>IPFIX + NETFLOW export</t>
  </si>
  <si>
    <t>VN-03</t>
  </si>
  <si>
    <t>VON → NSX Manager</t>
  </si>
  <si>
    <t>HTTPS NSX API — inventory+config+events</t>
  </si>
  <si>
    <t>VN-04</t>
  </si>
  <si>
    <t>VON → DNS</t>
  </si>
  <si>
    <t>DNS name resolution</t>
  </si>
  <si>
    <t>VN-05</t>
  </si>
  <si>
    <t>VON → NTP</t>
  </si>
  <si>
    <t>Time server</t>
  </si>
  <si>
    <t>VN-06</t>
  </si>
  <si>
    <t>VON → Switches (SNMP)</t>
  </si>
  <si>
    <t>Multi-Vendor Switches/Routers</t>
  </si>
  <si>
    <t>[Enter IP]</t>
  </si>
  <si>
    <t>161</t>
  </si>
  <si>
    <t>SNMP Polling</t>
  </si>
  <si>
    <t>Confirm physical device IPs with network team</t>
  </si>
  <si>
    <t>VN-07</t>
  </si>
  <si>
    <t>VON → VON Collector (HTTPS)</t>
  </si>
  <si>
    <t>VCF OPS Network Collector (M7)</t>
  </si>
  <si>
    <t>VON Collector API — flow collection</t>
  </si>
  <si>
    <t>M7 — added per Raju</t>
  </si>
  <si>
    <t>VN-08</t>
  </si>
  <si>
    <t>VON → VON Collector (SSH)</t>
  </si>
  <si>
    <t>SSH management — collector node</t>
  </si>
  <si>
    <t>M7 — Admin, restrict to jump host</t>
  </si>
  <si>
    <t>VO-11</t>
  </si>
  <si>
    <t>VCFO → VON Collector</t>
  </si>
  <si>
    <t>VCFO → collector metrics/config</t>
  </si>
  <si>
    <t>M7 — per Raju</t>
  </si>
  <si>
    <t>BGP-01a</t>
  </si>
  <si>
    <t>Edge 1 Uplink1 → ToR BGP (VLAN 2606)</t>
  </si>
  <si>
    <t>NSX Edge 1 — Uplink 1 (Rack 1)</t>
  </si>
  <si>
    <t>ToR BGP Peer (Rack 1)</t>
  </si>
  <si>
    <t>179</t>
  </si>
  <si>
    <t>BGP peering — Edge 1 Uplink1 to ToR</t>
  </si>
  <si>
    <t>EU1→EU11 — must be allowed at vDefend Gateway FW</t>
  </si>
  <si>
    <t>BGP-01b</t>
  </si>
  <si>
    <t>Edge 1 Uplink2 → ToR BGP (VLAN 2607)</t>
  </si>
  <si>
    <t>NSX Edge 1 — Uplink 2 (Rack 1)</t>
  </si>
  <si>
    <t>BGP peering — Edge 1 Uplink2 to ToR</t>
  </si>
  <si>
    <t>EU2→EU11 — must be allowed at vDefend Gateway FW</t>
  </si>
  <si>
    <t>BGP-02a</t>
  </si>
  <si>
    <t>Edge 2 Uplink1 → ToR BGP (VLAN 2606)</t>
  </si>
  <si>
    <t>NSX Edge 2 — Uplink 1 (Rack 1)</t>
  </si>
  <si>
    <t>BGP peering — Edge 2 Uplink1 to ToR</t>
  </si>
  <si>
    <t>EU3→EU11 — must be allowed at vDefend Gateway FW</t>
  </si>
  <si>
    <t>BGP-02b</t>
  </si>
  <si>
    <t>Edge 2 Uplink2 → ToR BGP (VLAN 2607)</t>
  </si>
  <si>
    <t>NSX Edge 2 — Uplink 2 (Rack 1)</t>
  </si>
  <si>
    <t>BGP peering — Edge 2 Uplink2 to ToR</t>
  </si>
  <si>
    <t>EU4→EU11 — must be allowed at vDefend Gateway FW</t>
  </si>
  <si>
    <t>BGP-03a</t>
  </si>
  <si>
    <t>Edge 3 Uplink1 → ToR BGP (VLAN 2608)</t>
  </si>
  <si>
    <t>NSX Edge 3 — Uplink 1 (Rack 2)</t>
  </si>
  <si>
    <t>ToR BGP Peer (Rack 2)</t>
  </si>
  <si>
    <t>BGP peering — Edge 3 Uplink1 to ToR</t>
  </si>
  <si>
    <t>EU5→EU11 — must be allowed at vDefend Gateway FW</t>
  </si>
  <si>
    <t>BGP-03b</t>
  </si>
  <si>
    <t>Edge 3 Uplink2 → ToR BGP (VLAN 2609)</t>
  </si>
  <si>
    <t>NSX Edge 3 — Uplink 2 (Rack 2)</t>
  </si>
  <si>
    <t>BGP peering — Edge 3 Uplink2 to ToR</t>
  </si>
  <si>
    <t>EU6→EU11 — must be allowed at vDefend Gateway FW</t>
  </si>
  <si>
    <t>BGP-04a</t>
  </si>
  <si>
    <t>Edge 4 Uplink1 → ToR BGP (VLAN 2608)</t>
  </si>
  <si>
    <t>NSX Edge 4 — Uplink 1 (Rack 2)</t>
  </si>
  <si>
    <t>BGP peering — Edge 4 Uplink1 to ToR</t>
  </si>
  <si>
    <t>EU7→EU11 — must be allowed at vDefend Gateway FW</t>
  </si>
  <si>
    <t>BGP-04b</t>
  </si>
  <si>
    <t>Edge 4 Uplink2 → ToR BGP (VLAN 2609)</t>
  </si>
  <si>
    <t>NSX Edge 4 — Uplink 2 (Rack 2)</t>
  </si>
  <si>
    <t>BGP peering — Edge 4 Uplink2 to ToR</t>
  </si>
  <si>
    <t>EU8→EU11 — must be allowed at vDefend Gateway FW</t>
  </si>
  <si>
    <t>TEP-01</t>
  </si>
  <si>
    <t>Edge TEP ↔ Host TEP (intra-AZ GENEVE)</t>
  </si>
  <si>
    <t>NSX Edge TEP (all edges)</t>
  </si>
  <si>
    <t>NSX Host TEP (all ESXi)</t>
  </si>
  <si>
    <t>6081</t>
  </si>
  <si>
    <t>GENEVE encapsulation — intra-AZ overlay</t>
  </si>
  <si>
    <t>EU9 — MTU 1600+ required end to end</t>
  </si>
  <si>
    <t>TEP-02</t>
  </si>
  <si>
    <t>Edge TEP ↔ Edge TEP (HA heartbeat)</t>
  </si>
  <si>
    <t>NSX Edge TEP</t>
  </si>
  <si>
    <t>NSX Edge TEP (peer)</t>
  </si>
  <si>
    <t>GENEVE — intra-AZ Edge HA</t>
  </si>
  <si>
    <t>EU9 — same subnet, intra-AZ only</t>
  </si>
  <si>
    <t>TEP-03</t>
  </si>
  <si>
    <t>Remote TEP — cross-AZ GENEVE</t>
  </si>
  <si>
    <t>NSX Remote TEP (RTEP)</t>
  </si>
  <si>
    <t>NSX Remote TEP (peer AZ)</t>
  </si>
  <si>
    <t>GENEVE cross-AZ — via Super Spine</t>
  </si>
  <si>
    <t>EU10 — VLAN 2605, goes via Super Spine not ToR</t>
  </si>
  <si>
    <t>BFD-01</t>
  </si>
  <si>
    <t>BFD — Edge to ToR fast failover</t>
  </si>
  <si>
    <t>NSX Edge Uplinks (all)</t>
  </si>
  <si>
    <t>ToR BGP Peer</t>
  </si>
  <si>
    <t>3784</t>
  </si>
  <si>
    <t>BFD — bidirectional forwarding detection</t>
  </si>
  <si>
    <t>EU1-EU8 → EU11 — required for fast BGP failover</t>
  </si>
  <si>
    <t>AES-220  |  Firewall Rules  |  Management Domain &amp; WLD ESXi → Fleet</t>
  </si>
  <si>
    <t>MF-01</t>
  </si>
  <si>
    <t>vCenter → Fleet Mgr (HTTPS)</t>
  </si>
  <si>
    <t>VCF Ops Fleet Manager</t>
  </si>
  <si>
    <t>Core APIs/HTTPS lifecycle+orchestration</t>
  </si>
  <si>
    <t>Ticket req #4  Mgmt→Fleet</t>
  </si>
  <si>
    <t>MF-02</t>
  </si>
  <si>
    <t>vCenter → VCFO (API)</t>
  </si>
  <si>
    <t>API comms bidirectional</t>
  </si>
  <si>
    <t>MF-03</t>
  </si>
  <si>
    <t>vCenter → VCFO (node mgr)</t>
  </si>
  <si>
    <t>8443</t>
  </si>
  <si>
    <t>Node Manager</t>
  </si>
  <si>
    <t>MF-04</t>
  </si>
  <si>
    <t>vCenter → VCFA (API)</t>
  </si>
  <si>
    <t>API bidirectional</t>
  </si>
  <si>
    <t>MF-05</t>
  </si>
  <si>
    <t>vCenter → VOL (syslog)</t>
  </si>
  <si>
    <t>VCF Operations for Logs</t>
  </si>
  <si>
    <t>514</t>
  </si>
  <si>
    <t>Syslog remote logging</t>
  </si>
  <si>
    <t>MF-06</t>
  </si>
  <si>
    <t>vCenter → VOL (syslog TLS)</t>
  </si>
  <si>
    <t>1514</t>
  </si>
  <si>
    <t>Syslog over TLS</t>
  </si>
  <si>
    <t>MF-07</t>
  </si>
  <si>
    <t>vCenter → VON (IPFIX)</t>
  </si>
  <si>
    <t>VCF Ops for Networks</t>
  </si>
  <si>
    <t>IPFIX flow data vDS→NSX</t>
  </si>
  <si>
    <t>vDS distributed switches send IPFIX</t>
  </si>
  <si>
    <t>MF-08</t>
  </si>
  <si>
    <t>NSX Manager → VCFO (API)</t>
  </si>
  <si>
    <t>API/inventory collection</t>
  </si>
  <si>
    <t>MF-09</t>
  </si>
  <si>
    <t>NSX Mgr → VOL (syslog)</t>
  </si>
  <si>
    <t>NSX node syslog</t>
  </si>
  <si>
    <t>MF-10</t>
  </si>
  <si>
    <t>NSX Mgr → VOL (syslog TLS)</t>
  </si>
  <si>
    <t>6514</t>
  </si>
  <si>
    <t>MF-11</t>
  </si>
  <si>
    <t>SDDC Mgr → Fleet Mgr (HTTPS)</t>
  </si>
  <si>
    <t>HTTPS+API — fleet orchestration</t>
  </si>
  <si>
    <t>MF-12</t>
  </si>
  <si>
    <t>SDDC Mgr → Fleet Mgr (SSH)</t>
  </si>
  <si>
    <t>SSH — deployment+troubleshooting</t>
  </si>
  <si>
    <t>MF-13</t>
  </si>
  <si>
    <t>SDDC Mgr → VCFA (HTTPS)</t>
  </si>
  <si>
    <t>API access management</t>
  </si>
  <si>
    <t>MF-14</t>
  </si>
  <si>
    <t>SDDC Mgr → VCFA (SSH)</t>
  </si>
  <si>
    <t>SSH cluster nodes</t>
  </si>
  <si>
    <t>MF-15</t>
  </si>
  <si>
    <t>SDDC Mgr → VCFO (HTTPS)</t>
  </si>
  <si>
    <t>API access cluster+nodes</t>
  </si>
  <si>
    <t>MF-16</t>
  </si>
  <si>
    <t>SDDC Mgr → VCFO (SSH)</t>
  </si>
  <si>
    <t>SSH cluster+collector nodes</t>
  </si>
  <si>
    <t>MF-17</t>
  </si>
  <si>
    <t>SDDC Mgr → VOL (syslog)</t>
  </si>
  <si>
    <t>Syslog based logging</t>
  </si>
  <si>
    <t>MF-18</t>
  </si>
  <si>
    <t>SDDC Mgr → VOL (9000)</t>
  </si>
  <si>
    <t>9000</t>
  </si>
  <si>
    <t>Log ingestion API CFAPI unencrypted</t>
  </si>
  <si>
    <t>MF-19</t>
  </si>
  <si>
    <t>SDDC Mgr → VOL (HTTPS)</t>
  </si>
  <si>
    <t>Logs cluster VIP+nodes</t>
  </si>
  <si>
    <t>MF-20</t>
  </si>
  <si>
    <t>SDDC Mgr → VOL (9543)</t>
  </si>
  <si>
    <t>9543</t>
  </si>
  <si>
    <t>API access management ops</t>
  </si>
  <si>
    <t>MF-21</t>
  </si>
  <si>
    <t>SDDC Mgr → VIDB (HTTPS)</t>
  </si>
  <si>
    <t>VCF SSO API — SDDC Mgr auth</t>
  </si>
  <si>
    <t>Critical  SSO dependency</t>
  </si>
  <si>
    <t>MF-22</t>
  </si>
  <si>
    <t>SDDC Mgr → VIDB (SSH)</t>
  </si>
  <si>
    <t>SSH SSO bringup ops</t>
  </si>
  <si>
    <t>Admin — restrict to jump host</t>
  </si>
  <si>
    <t>MF-23</t>
  </si>
  <si>
    <t>ESXi → VOL (syslog)</t>
  </si>
  <si>
    <t>vSphere host syslog to VOL</t>
  </si>
  <si>
    <t>Ticket req #4 — ESXi→Fleet</t>
  </si>
  <si>
    <t>MF-24</t>
  </si>
  <si>
    <t>ESXi → VOL (syslog TLS)</t>
  </si>
  <si>
    <t>Secure syslog over TLS</t>
  </si>
  <si>
    <t>MF-25</t>
  </si>
  <si>
    <t>ESXi → VON (IPFIX)</t>
  </si>
  <si>
    <t>IPFIX flow export from ESXi</t>
  </si>
  <si>
    <t>MF-26</t>
  </si>
  <si>
    <t>ESXi (Mgmt) → VOL (syslog)</t>
  </si>
  <si>
    <t>ESXi Hosts (Mgmt Domain)</t>
  </si>
  <si>
    <t>Mgmt domain ESXi syslog</t>
  </si>
  <si>
    <t>MF-27</t>
  </si>
  <si>
    <t>ESXi (Mgmt) → VOL (TLS)</t>
  </si>
  <si>
    <t>Secure syslog TLS</t>
  </si>
  <si>
    <t>MF-28</t>
  </si>
  <si>
    <t>ICMP All → Fleet (reachability)</t>
  </si>
  <si>
    <t>All Mgmt Domain Components</t>
  </si>
  <si>
    <t>[All Mgmt IPs]</t>
  </si>
  <si>
    <t>All Fleet Components</t>
  </si>
  <si>
    <t>[All Fleet IPs]</t>
  </si>
  <si>
    <t>ICMP</t>
  </si>
  <si>
    <t>IP reachability — ping/traceroute</t>
  </si>
  <si>
    <t>ALL Fleet-level &amp; VCF instance-level — mandatory</t>
  </si>
  <si>
    <t>MF-29</t>
  </si>
  <si>
    <t>VON Collector → VON (HTTPS)</t>
  </si>
  <si>
    <t>Collector → VON bidirectional API</t>
  </si>
  <si>
    <t>MF-30</t>
  </si>
  <si>
    <t>VON Collector → NSX Manager</t>
  </si>
  <si>
    <t>Collector pulls NSX flow/topology data</t>
  </si>
  <si>
    <t>MF-31</t>
  </si>
  <si>
    <t>VON Collector → vCenter</t>
  </si>
  <si>
    <t>Collector pulls vCenter inventory</t>
  </si>
  <si>
    <t>MF-32</t>
  </si>
  <si>
    <t>SDDC Mgr → VON Collector</t>
  </si>
  <si>
    <t>SDDC lifecycle management of collector</t>
  </si>
  <si>
    <t>AES-220  |  Firewall Rules  |  Fleet → External Services</t>
  </si>
  <si>
    <t>Source IP and Destination IP auto-populate from '📋 IP Input Sheet'.  Fill in IPs there first.</t>
  </si>
  <si>
    <t>EX-01</t>
  </si>
  <si>
    <t>EX-02</t>
  </si>
  <si>
    <t>Time sync</t>
  </si>
  <si>
    <t>EX-03</t>
  </si>
  <si>
    <t>VCFO → DNS</t>
  </si>
  <si>
    <t>DNS</t>
  </si>
  <si>
    <t>Primary/Replica/Data nodes</t>
  </si>
  <si>
    <t>EX-04</t>
  </si>
  <si>
    <t>VCFO → NTP</t>
  </si>
  <si>
    <t>EX-05</t>
  </si>
  <si>
    <t>VCFO → LDAP</t>
  </si>
  <si>
    <t>EX-06</t>
  </si>
  <si>
    <t>VCFO → LDAPS</t>
  </si>
  <si>
    <t>Secure LDAP</t>
  </si>
  <si>
    <t>EX-07</t>
  </si>
  <si>
    <t>VCFO → Global Catalog</t>
  </si>
  <si>
    <t>Global Catalog</t>
  </si>
  <si>
    <t>EX-08</t>
  </si>
  <si>
    <t>VCFO → SFTP</t>
  </si>
  <si>
    <t>External backup  NOT primary</t>
  </si>
  <si>
    <t>VCF Ops does NOT use SFTP for primary backup</t>
  </si>
  <si>
    <t>EX-09</t>
  </si>
  <si>
    <t>VIDB → LDAP</t>
  </si>
  <si>
    <t>Directory lookups</t>
  </si>
  <si>
    <t>Identity Broker→AD</t>
  </si>
  <si>
    <t>EX-10</t>
  </si>
  <si>
    <t>VIDB → Secure LDAP</t>
  </si>
  <si>
    <t>EX-11</t>
  </si>
  <si>
    <t>VIDB → IdP Federation</t>
  </si>
  <si>
    <t>IdP Federation Endpoint</t>
  </si>
  <si>
    <t>[External IP]</t>
  </si>
  <si>
    <t>SAML/OIDC/Okta/Ping/Entra ID</t>
  </si>
  <si>
    <t>External IdP — confirm IP with AMEX security team</t>
  </si>
  <si>
    <t>EX-12</t>
  </si>
  <si>
    <t>VIDB → DNS</t>
  </si>
  <si>
    <t>FQDN resolution for vCenter/NSX/SDDC</t>
  </si>
  <si>
    <t>EX-13</t>
  </si>
  <si>
    <t>VIDB → NTP</t>
  </si>
  <si>
    <t>EX-14</t>
  </si>
  <si>
    <t>VIDB → SFTP</t>
  </si>
  <si>
    <t>External backup via Fleet Mgr</t>
  </si>
  <si>
    <t>EX-15</t>
  </si>
  <si>
    <t>VIDB → CA Server</t>
  </si>
  <si>
    <t>SSL certificate  CA</t>
  </si>
  <si>
    <t>EX-16</t>
  </si>
  <si>
    <t>ICMP — Fleet→External</t>
  </si>
  <si>
    <t>[Fleet IPs]</t>
  </si>
  <si>
    <t>External Services</t>
  </si>
  <si>
    <t>Reachability ping/traceroute</t>
  </si>
  <si>
    <t>ALL Fleet-level components</t>
  </si>
  <si>
    <t>AES-220  |  Route Table  |  Fleet ↔ Management Domain ↔ WLD ESXi</t>
  </si>
  <si>
    <t>Destination subnets auto-populated from ' IP Input Sheet'.  Next-hop populated once IPs are entered.</t>
  </si>
  <si>
    <t>Destination Network</t>
  </si>
  <si>
    <t>Subnet / IP</t>
  </si>
  <si>
    <t>Next Hop</t>
  </si>
  <si>
    <t>Via Interface</t>
  </si>
  <si>
    <t>Route Type</t>
  </si>
  <si>
    <t>AZ Scope</t>
  </si>
  <si>
    <t>RT-01</t>
  </si>
  <si>
    <t>Fleet Overlay Segment</t>
  </si>
  <si>
    <t>T0 Gateway (per AZ)</t>
  </si>
  <si>
    <t>NSX Overlay</t>
  </si>
  <si>
    <t>Static/NSX</t>
  </si>
  <si>
    <t>AZ1/2/3</t>
  </si>
  <si>
    <t>NSX overlay  depends on Edge/T0 health</t>
  </si>
  <si>
    <t>RT-02</t>
  </si>
  <si>
    <t>Fleet segment overlay routed</t>
  </si>
  <si>
    <t>RT-03</t>
  </si>
  <si>
    <t>VCF Operations</t>
  </si>
  <si>
    <t>Fleet segment</t>
  </si>
  <si>
    <t>RT-04</t>
  </si>
  <si>
    <t>RT-05</t>
  </si>
  <si>
    <t>VCF Ops for Logs (VOL)</t>
  </si>
  <si>
    <t>RT-06</t>
  </si>
  <si>
    <t>RT-07</t>
  </si>
  <si>
    <t>Identity Broker</t>
  </si>
  <si>
    <t>Fleet segment  SSO critical path</t>
  </si>
  <si>
    <t>RT-08</t>
  </si>
  <si>
    <t>VM Management (VLAN 2600)</t>
  </si>
  <si>
    <t>ToR Switch (per AZ)</t>
  </si>
  <si>
    <t>VLAN 2600</t>
  </si>
  <si>
    <t>VLAN/Static</t>
  </si>
  <si>
    <t>vCenter/NSX Mgr/SDDC Mgr</t>
  </si>
  <si>
    <t>VLAN-backed direct physical, no NSX dependency</t>
  </si>
  <si>
    <t>RT-09</t>
  </si>
  <si>
    <t>Static</t>
  </si>
  <si>
    <t>RT-10</t>
  </si>
  <si>
    <t>RT-11</t>
  </si>
  <si>
    <t>RT-12</t>
  </si>
  <si>
    <t>ESXi Mgmt — WLD</t>
  </si>
  <si>
    <t>vDSW01 VM Mgmt PG</t>
  </si>
  <si>
    <t>ESXi Hosts WLD</t>
  </si>
  <si>
    <t>WLD cluster hosts</t>
  </si>
  <si>
    <t>RT-13</t>
  </si>
  <si>
    <t>ESXi Mgmt — Mgmt Domain</t>
  </si>
  <si>
    <t>vDSM01 VM Mgmt PG</t>
  </si>
  <si>
    <t>ESXi Hosts Mgmt</t>
  </si>
  <si>
    <t>Mgmt domain cluster hosts</t>
  </si>
  <si>
    <t>RT-14</t>
  </si>
  <si>
    <t>NSX Edge / Uplink</t>
  </si>
  <si>
    <t>BGP Advertised</t>
  </si>
  <si>
    <t>Avi VIPs / WLD external</t>
  </si>
  <si>
    <t>VIP subnet BGP advertised via Edge to ToR</t>
  </si>
  <si>
    <t>RT-15</t>
  </si>
  <si>
    <t>Edge Node → ToR</t>
  </si>
  <si>
    <t>Uplink VLAN</t>
  </si>
  <si>
    <t>All components</t>
  </si>
  <si>
    <t>DC-wide</t>
  </si>
  <si>
    <t>Outbound via Edge N-S path</t>
  </si>
  <si>
    <t>RT-16</t>
  </si>
  <si>
    <t>RT-17</t>
  </si>
  <si>
    <t>Fleet+Mgmt components</t>
  </si>
  <si>
    <t>RT-18</t>
  </si>
  <si>
    <t>RT-19</t>
  </si>
  <si>
    <t>SDDC Mgr / VCF Ops</t>
  </si>
  <si>
    <t>RT-20</t>
  </si>
  <si>
    <t>Host TEP Subnet</t>
  </si>
  <si>
    <t>[VLAN TBD]</t>
  </si>
  <si>
    <t>Physical Fabric</t>
  </si>
  <si>
    <t>Host TEP VLAN</t>
  </si>
  <si>
    <t>VLAN</t>
  </si>
  <si>
    <t>NSX Host TEP</t>
  </si>
  <si>
    <t>Per AZ</t>
  </si>
  <si>
    <t>GENEVE encap  MTU must be 1600+</t>
  </si>
  <si>
    <t>RT-21</t>
  </si>
  <si>
    <t>Edge TEP Subnet</t>
  </si>
  <si>
    <t>VLAN 2603</t>
  </si>
  <si>
    <t>Edge TEP VLAN</t>
  </si>
  <si>
    <t>Edge nodes GENEVE tunnels</t>
  </si>
  <si>
    <t>RT-22</t>
  </si>
  <si>
    <t>Remote TEP Subnet</t>
  </si>
  <si>
    <t>VLAN 2605</t>
  </si>
  <si>
    <t>Super Spine</t>
  </si>
  <si>
    <t>RTEP VLAN</t>
  </si>
  <si>
    <t>Cross-AZ tunnels</t>
  </si>
  <si>
    <t>Cross-AZ NSX overlay RTEP</t>
  </si>
  <si>
    <t>RT-23</t>
  </si>
  <si>
    <t>[Physical]</t>
  </si>
  <si>
    <t>Physical Routing</t>
  </si>
  <si>
    <t>Uplink 2606/2607/2608/2609</t>
  </si>
  <si>
    <t>BGP</t>
  </si>
  <si>
    <t>All AZs</t>
  </si>
  <si>
    <t>BGP between Edge nodes and ToR switches</t>
  </si>
  <si>
    <t>VCF OPS Network Collector</t>
  </si>
  <si>
    <t>AZ1/AZ2</t>
  </si>
  <si>
    <t>M7 — Mgmt domain VLAN</t>
  </si>
  <si>
    <t>NSX Edge Uplink — Rack1 VLAN 2606</t>
  </si>
  <si>
    <t>ToR Rack1</t>
  </si>
  <si>
    <t>VLAN 2606 Uplink</t>
  </si>
  <si>
    <t>BGP Peer</t>
  </si>
  <si>
    <t>NSX Edge Node 1</t>
  </si>
  <si>
    <t>Edge→ToR BGP peering — same /30 subnet</t>
  </si>
  <si>
    <t>NSX Edge Uplink — Rack1 VLAN 2607</t>
  </si>
  <si>
    <t>VLAN 2607 Uplink</t>
  </si>
  <si>
    <t>NSX Edge Node 2</t>
  </si>
  <si>
    <t>NSX Edge Uplink — Rack2 VLAN 2608</t>
  </si>
  <si>
    <t>ToR Rack2</t>
  </si>
  <si>
    <t>VLAN 2608 Uplink</t>
  </si>
  <si>
    <t>Edge→ToR BGP peering</t>
  </si>
  <si>
    <t>NSX Edge Uplink — Rack2 VLAN 2609</t>
  </si>
  <si>
    <t>VLAN 2609 Uplink</t>
  </si>
  <si>
    <t>Edge TEP Subnet (VLAN 2603)</t>
  </si>
  <si>
    <t>Edge TEP VLAN 2603</t>
  </si>
  <si>
    <t>Intra-AZ HA + GENEVE — MTU 1600+</t>
  </si>
  <si>
    <t>Remote TEP — Cross-AZ (VLAN 2605)</t>
  </si>
  <si>
    <t>RTEP VLAN 2605</t>
  </si>
  <si>
    <t>Cross-AZ NSX Overlay</t>
  </si>
  <si>
    <t>AZ1↔AZ2↔AZ3 GENEVE tunnels</t>
  </si>
  <si>
    <t>ToR BGP Peer IPs</t>
  </si>
  <si>
    <t>Physical ToR Switch</t>
  </si>
  <si>
    <t>Uplink SVIs</t>
  </si>
  <si>
    <t>ToR Switch (Network Team)</t>
  </si>
  <si>
    <t>Get from network team — not Raju</t>
  </si>
  <si>
    <t>RT-E1a</t>
  </si>
  <si>
    <t>Edge 1 Uplink 1 (VLAN 2606)</t>
  </si>
  <si>
    <t>ToR Rack 1</t>
  </si>
  <si>
    <t>VLAN 2606 SVI</t>
  </si>
  <si>
    <t>NSX Edge 1</t>
  </si>
  <si>
    <t>EU1 — same /30 subnet as Edge 2 on Rack 1</t>
  </si>
  <si>
    <t>RT-E1b</t>
  </si>
  <si>
    <t>Edge 1 Uplink 2 (VLAN 2607)</t>
  </si>
  <si>
    <t>VLAN 2607 SVI</t>
  </si>
  <si>
    <t>EU2 — redundant uplink same Edge node</t>
  </si>
  <si>
    <t>RT-E2a</t>
  </si>
  <si>
    <t>Edge 2 Uplink 1 (VLAN 2606)</t>
  </si>
  <si>
    <t>NSX Edge 2</t>
  </si>
  <si>
    <t>EU3 — same /30 subnet as Edge 1 on Rack 1</t>
  </si>
  <si>
    <t>RT-E2b</t>
  </si>
  <si>
    <t>Edge 2 Uplink 2 (VLAN 2607)</t>
  </si>
  <si>
    <t>EU4 — redundant uplink same Edge node</t>
  </si>
  <si>
    <t>RT-E3a</t>
  </si>
  <si>
    <t>Edge 3 Uplink 1 (VLAN 2608)</t>
  </si>
  <si>
    <t>ToR Rack 2</t>
  </si>
  <si>
    <t>VLAN 2608 SVI</t>
  </si>
  <si>
    <t>NSX Edge 3</t>
  </si>
  <si>
    <t>EU5 — same /30 subnet as Edge 2 on Rack 2</t>
  </si>
  <si>
    <t>RT-E3b</t>
  </si>
  <si>
    <t>Edge 3 Uplink 2 (VLAN 2609)</t>
  </si>
  <si>
    <t>VLAN 2609 SVI</t>
  </si>
  <si>
    <t>EU6 — redundant uplink same Edge node</t>
  </si>
  <si>
    <t>RT-E4a</t>
  </si>
  <si>
    <t>Edge 4 Uplink 1 (VLAN 2608)</t>
  </si>
  <si>
    <t>NSX Edge 4</t>
  </si>
  <si>
    <t>EU7 — same /30 subnet as Edge 3 on Rack 2</t>
  </si>
  <si>
    <t>RT-E4b</t>
  </si>
  <si>
    <t>Edge 4 Uplink 2 (VLAN 2609)</t>
  </si>
  <si>
    <t>EU8 — redundant uplink same Edge node</t>
  </si>
  <si>
    <t>RT-TEP</t>
  </si>
  <si>
    <t>EU9 — GENEVE intra-AZ, MTU 1600+</t>
  </si>
  <si>
    <t>RT-RTEP</t>
  </si>
  <si>
    <t>Remote TEP Subnet (VLAN 2605)</t>
  </si>
  <si>
    <t>EU10 — AZ1↔AZ2↔AZ3 cross-AZ GENEVE</t>
  </si>
  <si>
    <t>AES-220  |  Unique Port Reference  |  All Fleet Firewall Ports Consolidated</t>
  </si>
  <si>
    <t>Service</t>
  </si>
  <si>
    <t>Used By (Source)</t>
  </si>
  <si>
    <t>Used By (Destination)</t>
  </si>
  <si>
    <t>VCF Installer, SDDC Mgr, Fleet Mgr, VCFA, VCFO</t>
  </si>
  <si>
    <t>ESXi, SDDC Mgr, Fleet VMs, SFTP</t>
  </si>
  <si>
    <t>Admin only restrict to jump host / bastion</t>
  </si>
  <si>
    <t>50</t>
  </si>
  <si>
    <t>ESP</t>
  </si>
  <si>
    <t>Encapsulating Security Payload</t>
  </si>
  <si>
    <t>ALL</t>
  </si>
  <si>
    <t>Used by k8s to encapsulate hidden networks — bidirectional</t>
  </si>
  <si>
    <t>All Fleet + VCF Components</t>
  </si>
  <si>
    <t>DNS Servers</t>
  </si>
  <si>
    <t>Bidirectional  ALL Fleet-level and VCF instance-level</t>
  </si>
  <si>
    <t>NTP</t>
  </si>
  <si>
    <t>NTP Servers</t>
  </si>
  <si>
    <t>Time sync  ALL VCF 9 components</t>
  </si>
  <si>
    <t>SNMP</t>
  </si>
  <si>
    <t>Switches/Routers</t>
  </si>
  <si>
    <t>SNMP polling physical devices</t>
  </si>
  <si>
    <t>LDAP</t>
  </si>
  <si>
    <t>VCF Ops, Identity Broker, vCenter</t>
  </si>
  <si>
    <t>AD/LDAP Servers</t>
  </si>
  <si>
    <t>Directory lookups Active Directory integration</t>
  </si>
  <si>
    <t>HTTPS</t>
  </si>
  <si>
    <t>All Fleet + Mgmt Components</t>
  </si>
  <si>
    <t>Primary management port  most component comms</t>
  </si>
  <si>
    <t>Syslog</t>
  </si>
  <si>
    <t>vCenter, NSX, SDDC, ESXi, VCFA</t>
  </si>
  <si>
    <t>Remote syslog  all components log to VOL</t>
  </si>
  <si>
    <t>LDAPS</t>
  </si>
  <si>
    <t>Heartbeat / VMRC</t>
  </si>
  <si>
    <t>vCenter, VCF Automation</t>
  </si>
  <si>
    <t>ESXi Hosts</t>
  </si>
  <si>
    <t>Core mgmt comms vCenter↔ESXi + VM console</t>
  </si>
  <si>
    <t>vCenter, NSX, ESXi, VCFA</t>
  </si>
  <si>
    <t>IPFIX (deprecated)</t>
  </si>
  <si>
    <t>vCenter, VON</t>
  </si>
  <si>
    <t>vDS/NSX</t>
  </si>
  <si>
    <t>Deprecated use port 4739 instead</t>
  </si>
  <si>
    <t>AD Global Catalog lookup</t>
  </si>
  <si>
    <t>IPFIX + NETFLOW</t>
  </si>
  <si>
    <t>ESXi, VON</t>
  </si>
  <si>
    <t>VON, NSX</t>
  </si>
  <si>
    <t>Flow analysis replace 2055</t>
  </si>
  <si>
    <t>Kubernetes API</t>
  </si>
  <si>
    <t>Fleet Mgr, VCF Automation</t>
  </si>
  <si>
    <t>Identity Broker, VCFA</t>
  </si>
  <si>
    <t>Kubernetes control plane API server</t>
  </si>
  <si>
    <t>Syslog over SSL</t>
  </si>
  <si>
    <t>NSX Manager, VCFA</t>
  </si>
  <si>
    <t>VCF Ops for Logs</t>
  </si>
  <si>
    <t>Syslog SSL</t>
  </si>
  <si>
    <t>Health Check</t>
  </si>
  <si>
    <t>VCFA health monitoring</t>
  </si>
  <si>
    <t>VCF Installer, SDDC Mgr</t>
  </si>
  <si>
    <t>SDDC Manager, VCFO</t>
  </si>
  <si>
    <t>Internal service comms bringup</t>
  </si>
  <si>
    <t>Log Ingestion API</t>
  </si>
  <si>
    <t>SDDC Mgr, VCFA</t>
  </si>
  <si>
    <t>CFAPI — unencrypted; prefer 9543</t>
  </si>
  <si>
    <t>9443</t>
  </si>
  <si>
    <t>Lifecycle Mgmt</t>
  </si>
  <si>
    <t>VCF Installer</t>
  </si>
  <si>
    <t>vSphere webclient + LCM bringup</t>
  </si>
  <si>
    <t>Secure Log Ingestion</t>
  </si>
  <si>
    <t>CFAPI over SSL — preferred over 9000</t>
  </si>
  <si>
    <t>vCenter Inventory</t>
  </si>
  <si>
    <t>Inventory service</t>
  </si>
  <si>
    <t>Container Images</t>
  </si>
  <si>
    <t>Fleet Mgr</t>
  </si>
  <si>
    <t>VCFA + VIDB</t>
  </si>
  <si>
    <t>k8s/VKS OCI registry</t>
  </si>
  <si>
    <t>VCFA/VIDB API</t>
  </si>
  <si>
    <t>Webhooks  day2 ops triggers</t>
  </si>
  <si>
    <t>Health Validation</t>
  </si>
  <si>
    <t>Pre-LCM health check</t>
  </si>
  <si>
    <t>Ping/Traceroute</t>
  </si>
  <si>
    <t>ALL Fleet + Mgmt Components</t>
  </si>
  <si>
    <t>MANDATORY  ALL fleet-level &amp; VCF instance-level components</t>
  </si>
  <si>
    <t>NSX Edge Nodes</t>
  </si>
  <si>
    <t>ToR Switches (BGP Peers)</t>
  </si>
  <si>
    <t>Edge→ToR BGP peering — must be allowed at Gateway FW</t>
  </si>
  <si>
    <t>3784/3785</t>
  </si>
  <si>
    <t>BFD</t>
  </si>
  <si>
    <t>ToR Switches</t>
  </si>
  <si>
    <t>Bidirectional Forwarding Detection — fast BGP failover</t>
  </si>
  <si>
    <t>4789</t>
  </si>
  <si>
    <t>GENEVE/VXLAN TEP</t>
  </si>
  <si>
    <t>Overlay encapsulation — MTU 1600+ required</t>
  </si>
  <si>
    <t>NSX Edge Uplinks (EU1–EU8)</t>
  </si>
  <si>
    <t>ToR BGP Peer (EU11)</t>
  </si>
  <si>
    <t>Edge→ToR BGP peering — bidirectional, must be allowed on Gateway FW</t>
  </si>
  <si>
    <t>GENEVE Overlay</t>
  </si>
  <si>
    <t>Edge TEP (EU9) / Remote TEP (EU10)</t>
  </si>
  <si>
    <t>Host TEP / Peer Edge TEP</t>
  </si>
  <si>
    <t>NSX overlay encapsulation — MTU 1600+ required</t>
  </si>
  <si>
    <t>NSX Edge Uplinks</t>
  </si>
  <si>
    <t>10.3.111.101</t>
  </si>
  <si>
    <t>10.3.111.102</t>
  </si>
  <si>
    <t>10.3.111.121</t>
  </si>
  <si>
    <t>10.3.111.122</t>
  </si>
  <si>
    <t>10.3.111.133</t>
  </si>
  <si>
    <t>10.3.111.134</t>
  </si>
  <si>
    <t>10.3.111.153</t>
  </si>
  <si>
    <t>10.3.111.154</t>
  </si>
  <si>
    <t>10.5.236.0/24</t>
  </si>
  <si>
    <t>10.5.22.0/24</t>
  </si>
  <si>
    <t>ToR BGP Peer IPs  (Network Team — ToR SVI) - Rack 1 Uplink 1</t>
  </si>
  <si>
    <t>ToR BGP Peer IPs  (Network Team — ToR SVI) - Rack 1 Uplink 2</t>
  </si>
  <si>
    <t>ToR BGP Peer IPs  (Network Team — ToR SVI) - Rack 2 Uplink 1</t>
  </si>
  <si>
    <t>ToR BGP Peer IPs  (Network Team — ToR SVI) - Rack 2 Uplink 2</t>
  </si>
  <si>
    <t>10.3.111.97</t>
  </si>
  <si>
    <t>10.3.111.113</t>
  </si>
  <si>
    <t>10.3.111.129</t>
  </si>
  <si>
    <t>10.3.111.145</t>
  </si>
  <si>
    <t>10.3.111.231</t>
  </si>
  <si>
    <t>10.3.111.241</t>
  </si>
  <si>
    <t>10.3.111.232</t>
  </si>
  <si>
    <t>10.3.111.242</t>
  </si>
  <si>
    <t>10.5.25.13</t>
  </si>
  <si>
    <t>10.5.25.14</t>
  </si>
  <si>
    <t>10.5.25.23</t>
  </si>
  <si>
    <t>10.5.25.24</t>
  </si>
  <si>
    <t>10.5.248.0/24</t>
  </si>
  <si>
    <t>10.5.24.0/24</t>
  </si>
  <si>
    <t>10.3.111.225</t>
  </si>
  <si>
    <t>10.5.25.1</t>
  </si>
  <si>
    <t>10.5.25.17</t>
  </si>
  <si>
    <t>10.5.59.4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</si>
</sst>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scheme val="minor"/>
    </font>
    <font>
      <b/>
      <sz val="13"/>
      <color rgb="FFFFFFFF"/>
      <name val="Arial"/>
      <family val="2"/>
    </font>
    <font>
      <sz val="11"/>
      <name val="Calibri"/>
      <family val="2"/>
    </font>
    <font>
      <i/>
      <sz val="9"/>
      <color rgb="FF7F0000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</font>
    <font>
      <sz val="9"/>
      <color rgb="FF000000"/>
      <name val="Arial"/>
      <family val="2"/>
    </font>
    <font>
      <sz val="9"/>
      <color rgb="FF7F6000"/>
      <name val="Arial"/>
      <family val="2"/>
    </font>
    <font>
      <i/>
      <sz val="9"/>
      <color rgb="FF7F7F7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12"/>
      <color rgb="FFFFFFFF"/>
      <name val="Arial"/>
      <family val="2"/>
    </font>
    <font>
      <b/>
      <sz val="9"/>
      <color rgb="FF375623"/>
      <name val="Arial"/>
      <family val="2"/>
    </font>
    <font>
      <b/>
      <sz val="9"/>
      <color rgb="FF1F3864"/>
      <name val="Arial"/>
      <family val="2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FFF2CC"/>
        <bgColor rgb="FFFFF2CC"/>
      </patternFill>
    </fill>
    <fill>
      <patternFill patternType="solid">
        <fgColor rgb="FF2E75B6"/>
        <bgColor rgb="FF2E75B6"/>
      </patternFill>
    </fill>
    <fill>
      <patternFill patternType="solid">
        <fgColor rgb="FFDEEAF1"/>
        <bgColor rgb="FFDEEAF1"/>
      </patternFill>
    </fill>
    <fill>
      <patternFill patternType="solid">
        <fgColor rgb="FFFFFF99"/>
        <bgColor rgb="FFFFFF99"/>
      </patternFill>
    </fill>
    <fill>
      <patternFill patternType="solid">
        <fgColor rgb="FF7030A0"/>
        <bgColor rgb="FF7030A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2EFDA"/>
        <bgColor rgb="FFE2EFDA"/>
      </patternFill>
    </fill>
    <fill>
      <patternFill patternType="solid">
        <fgColor rgb="FFBDD7EE"/>
        <bgColor rgb="FFBDD7EE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DEEAF1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4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left" vertical="center" wrapText="1"/>
    </xf>
    <xf numFmtId="0" fontId="7" fillId="6" borderId="4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10" fillId="6" borderId="4" xfId="0" applyFont="1" applyFill="1" applyBorder="1" applyAlignment="1">
      <alignment horizontal="left" vertical="center" wrapText="1"/>
    </xf>
    <xf numFmtId="0" fontId="11" fillId="8" borderId="4" xfId="0" applyFont="1" applyFill="1" applyBorder="1" applyAlignment="1">
      <alignment horizontal="left" vertical="center" wrapText="1"/>
    </xf>
    <xf numFmtId="0" fontId="10" fillId="9" borderId="0" xfId="0" applyFont="1" applyFill="1" applyAlignment="1">
      <alignment horizontal="left" vertical="center" wrapText="1"/>
    </xf>
    <xf numFmtId="0" fontId="10" fillId="9" borderId="0" xfId="0" applyFont="1" applyFill="1"/>
    <xf numFmtId="0" fontId="10" fillId="9" borderId="0" xfId="0" applyFont="1" applyFill="1" applyAlignment="1">
      <alignment horizontal="center" vertical="center" wrapText="1"/>
    </xf>
    <xf numFmtId="0" fontId="6" fillId="8" borderId="4" xfId="0" applyFont="1" applyFill="1" applyBorder="1" applyAlignment="1">
      <alignment horizontal="left" vertical="center" wrapText="1"/>
    </xf>
    <xf numFmtId="0" fontId="13" fillId="10" borderId="4" xfId="0" applyFont="1" applyFill="1" applyBorder="1" applyAlignment="1">
      <alignment horizontal="left" vertical="center" wrapText="1"/>
    </xf>
    <xf numFmtId="0" fontId="6" fillId="11" borderId="4" xfId="0" applyFont="1" applyFill="1" applyBorder="1" applyAlignment="1">
      <alignment horizontal="left" vertical="center" wrapText="1"/>
    </xf>
    <xf numFmtId="0" fontId="6" fillId="9" borderId="4" xfId="0" applyFont="1" applyFill="1" applyBorder="1" applyAlignment="1">
      <alignment horizontal="left" vertical="center" wrapText="1"/>
    </xf>
    <xf numFmtId="0" fontId="10" fillId="8" borderId="4" xfId="0" applyFont="1" applyFill="1" applyBorder="1" applyAlignment="1">
      <alignment horizontal="left" vertical="center" wrapText="1"/>
    </xf>
    <xf numFmtId="0" fontId="10" fillId="11" borderId="4" xfId="0" applyFont="1" applyFill="1" applyBorder="1" applyAlignment="1">
      <alignment horizontal="left" vertical="center" wrapText="1"/>
    </xf>
    <xf numFmtId="0" fontId="10" fillId="9" borderId="4" xfId="0" applyFont="1" applyFill="1" applyBorder="1" applyAlignment="1">
      <alignment horizontal="left" vertical="center" wrapText="1"/>
    </xf>
    <xf numFmtId="0" fontId="6" fillId="10" borderId="4" xfId="0" applyFont="1" applyFill="1" applyBorder="1" applyAlignment="1">
      <alignment horizontal="left" vertical="center" wrapText="1"/>
    </xf>
    <xf numFmtId="0" fontId="6" fillId="12" borderId="4" xfId="0" applyFont="1" applyFill="1" applyBorder="1" applyAlignment="1">
      <alignment horizontal="left" vertical="center" wrapText="1"/>
    </xf>
    <xf numFmtId="0" fontId="10" fillId="12" borderId="4" xfId="0" applyFont="1" applyFill="1" applyBorder="1" applyAlignment="1">
      <alignment horizontal="left" vertical="center" wrapText="1"/>
    </xf>
    <xf numFmtId="0" fontId="10" fillId="10" borderId="4" xfId="0" applyFont="1" applyFill="1" applyBorder="1" applyAlignment="1">
      <alignment horizontal="left" vertical="center" wrapText="1"/>
    </xf>
    <xf numFmtId="0" fontId="14" fillId="9" borderId="4" xfId="0" applyFont="1" applyFill="1" applyBorder="1" applyAlignment="1">
      <alignment horizontal="left" vertical="center" wrapText="1"/>
    </xf>
    <xf numFmtId="0" fontId="14" fillId="8" borderId="4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0" borderId="3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7" borderId="5" xfId="0" applyFont="1" applyFill="1" applyBorder="1" applyAlignment="1">
      <alignment horizontal="left" vertical="center" wrapText="1"/>
    </xf>
    <xf numFmtId="0" fontId="2" fillId="0" borderId="5" xfId="0" applyFont="1" applyBorder="1"/>
    <xf numFmtId="0" fontId="2" fillId="0" borderId="6" xfId="0" applyFont="1" applyBorder="1"/>
    <xf numFmtId="0" fontId="12" fillId="2" borderId="1" xfId="0" applyFont="1" applyFill="1" applyBorder="1" applyAlignment="1">
      <alignment horizontal="center" vertical="center" wrapText="1"/>
    </xf>
    <xf numFmtId="0" fontId="15" fillId="13" borderId="7" xfId="0" applyFont="1" applyFill="1" applyBorder="1"/>
    <xf numFmtId="0" fontId="6" fillId="5" borderId="8" xfId="0" applyFont="1" applyFill="1" applyBorder="1" applyAlignment="1">
      <alignment horizontal="left" vertical="center" wrapText="1"/>
    </xf>
    <xf numFmtId="0" fontId="0" fillId="0" borderId="6" xfId="0" applyBorder="1"/>
    <xf numFmtId="0" fontId="6" fillId="14" borderId="7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F1000"/>
  <sheetViews>
    <sheetView tabSelected="1" zoomScale="200" zoomScaleNormal="200" workbookViewId="0">
      <pane xSplit="3" ySplit="4" topLeftCell="D25" activePane="bottomRight" state="frozen"/>
      <selection pane="topRight" activeCell="D1" sqref="D1"/>
      <selection pane="bottomLeft" activeCell="A5" sqref="A5"/>
      <selection pane="bottomRight" activeCell="E19" sqref="E19"/>
    </sheetView>
  </sheetViews>
  <sheetFormatPr baseColWidth="10" defaultColWidth="14.5" defaultRowHeight="15" customHeight="1" x14ac:dyDescent="0.2"/>
  <cols>
    <col min="1" max="1" width="7" customWidth="1"/>
    <col min="2" max="2" width="45" customWidth="1"/>
    <col min="3" max="6" width="22" customWidth="1"/>
  </cols>
  <sheetData>
    <row r="1" spans="1:6" ht="31.5" customHeight="1" x14ac:dyDescent="0.2">
      <c r="A1" s="24" t="s">
        <v>0</v>
      </c>
      <c r="B1" s="25"/>
      <c r="C1" s="25"/>
      <c r="D1" s="25"/>
      <c r="E1" s="25"/>
      <c r="F1" s="26"/>
    </row>
    <row r="2" spans="1:6" ht="19.5" customHeight="1" x14ac:dyDescent="0.2">
      <c r="A2" s="27" t="s">
        <v>1</v>
      </c>
      <c r="B2" s="25"/>
      <c r="C2" s="25"/>
      <c r="D2" s="25"/>
      <c r="E2" s="25"/>
      <c r="F2" s="26"/>
    </row>
    <row r="3" spans="1:6" ht="24" customHeight="1" x14ac:dyDescent="0.2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ht="21.75" customHeight="1" x14ac:dyDescent="0.2">
      <c r="A4" s="28" t="s">
        <v>8</v>
      </c>
      <c r="B4" s="25"/>
      <c r="C4" s="25"/>
      <c r="D4" s="25"/>
      <c r="E4" s="25"/>
      <c r="F4" s="26"/>
    </row>
    <row r="5" spans="1:6" ht="18" customHeight="1" x14ac:dyDescent="0.2">
      <c r="A5" s="2" t="s">
        <v>9</v>
      </c>
      <c r="B5" s="2" t="s">
        <v>10</v>
      </c>
      <c r="C5" s="2" t="s">
        <v>11</v>
      </c>
      <c r="D5" s="3" t="s">
        <v>12</v>
      </c>
      <c r="E5" s="3" t="s">
        <v>13</v>
      </c>
      <c r="F5" s="3"/>
    </row>
    <row r="6" spans="1:6" ht="18" customHeight="1" x14ac:dyDescent="0.2">
      <c r="A6" s="2" t="s">
        <v>14</v>
      </c>
      <c r="B6" s="2" t="s">
        <v>15</v>
      </c>
      <c r="C6" s="2" t="s">
        <v>16</v>
      </c>
      <c r="D6" s="3" t="s">
        <v>17</v>
      </c>
      <c r="E6" s="3"/>
      <c r="F6" s="3"/>
    </row>
    <row r="7" spans="1:6" ht="18" customHeight="1" x14ac:dyDescent="0.2">
      <c r="A7" s="2" t="s">
        <v>18</v>
      </c>
      <c r="B7" s="2" t="s">
        <v>19</v>
      </c>
      <c r="C7" s="2" t="s">
        <v>20</v>
      </c>
      <c r="D7" s="3" t="s">
        <v>17</v>
      </c>
      <c r="E7" s="3"/>
      <c r="F7" s="3"/>
    </row>
    <row r="8" spans="1:6" ht="18" customHeight="1" x14ac:dyDescent="0.2">
      <c r="A8" s="2" t="s">
        <v>21</v>
      </c>
      <c r="B8" s="2" t="s">
        <v>22</v>
      </c>
      <c r="C8" s="2" t="s">
        <v>23</v>
      </c>
      <c r="D8" s="3" t="s">
        <v>17</v>
      </c>
      <c r="E8" s="3"/>
      <c r="F8" s="3"/>
    </row>
    <row r="9" spans="1:6" ht="18" customHeight="1" x14ac:dyDescent="0.2">
      <c r="A9" s="2" t="s">
        <v>24</v>
      </c>
      <c r="B9" s="2" t="s">
        <v>25</v>
      </c>
      <c r="C9" s="2" t="s">
        <v>26</v>
      </c>
      <c r="D9" s="3" t="s">
        <v>17</v>
      </c>
      <c r="E9" s="3"/>
      <c r="F9" s="3"/>
    </row>
    <row r="10" spans="1:6" ht="18" customHeight="1" x14ac:dyDescent="0.2">
      <c r="A10" s="2" t="s">
        <v>27</v>
      </c>
      <c r="B10" s="2" t="s">
        <v>28</v>
      </c>
      <c r="C10" s="2" t="s">
        <v>29</v>
      </c>
      <c r="D10" s="3" t="s">
        <v>30</v>
      </c>
      <c r="E10" s="3" t="s">
        <v>31</v>
      </c>
      <c r="F10" s="3"/>
    </row>
    <row r="11" spans="1:6" ht="18" customHeight="1" x14ac:dyDescent="0.2">
      <c r="A11" s="2" t="s">
        <v>32</v>
      </c>
      <c r="B11" s="2" t="s">
        <v>33</v>
      </c>
      <c r="C11" s="2" t="s">
        <v>34</v>
      </c>
      <c r="D11" s="3" t="s">
        <v>17</v>
      </c>
      <c r="E11" s="3" t="s">
        <v>17</v>
      </c>
      <c r="F11" s="3"/>
    </row>
    <row r="12" spans="1:6" ht="21.75" customHeight="1" x14ac:dyDescent="0.2">
      <c r="A12" s="28" t="s">
        <v>35</v>
      </c>
      <c r="B12" s="25"/>
      <c r="C12" s="25"/>
      <c r="D12" s="25"/>
      <c r="E12" s="25"/>
      <c r="F12" s="26"/>
    </row>
    <row r="13" spans="1:6" ht="18" customHeight="1" x14ac:dyDescent="0.2">
      <c r="A13" s="2" t="s">
        <v>36</v>
      </c>
      <c r="B13" s="2" t="s">
        <v>37</v>
      </c>
      <c r="C13" s="2" t="s">
        <v>38</v>
      </c>
      <c r="D13" s="3" t="s">
        <v>39</v>
      </c>
      <c r="E13" s="3" t="s">
        <v>846</v>
      </c>
      <c r="F13" s="3"/>
    </row>
    <row r="14" spans="1:6" ht="18" customHeight="1" x14ac:dyDescent="0.2">
      <c r="A14" s="2" t="s">
        <v>40</v>
      </c>
      <c r="B14" s="2" t="s">
        <v>41</v>
      </c>
      <c r="C14" s="2" t="s">
        <v>42</v>
      </c>
      <c r="D14" s="3" t="s">
        <v>30</v>
      </c>
      <c r="E14" s="3" t="s">
        <v>31</v>
      </c>
      <c r="F14" s="3"/>
    </row>
    <row r="15" spans="1:6" ht="18" customHeight="1" x14ac:dyDescent="0.2">
      <c r="A15" s="2" t="s">
        <v>43</v>
      </c>
      <c r="B15" s="2" t="s">
        <v>44</v>
      </c>
      <c r="C15" s="2" t="s">
        <v>45</v>
      </c>
      <c r="D15" s="3" t="s">
        <v>30</v>
      </c>
      <c r="E15" s="3" t="s">
        <v>31</v>
      </c>
      <c r="F15" s="3"/>
    </row>
    <row r="16" spans="1:6" ht="18" customHeight="1" x14ac:dyDescent="0.2">
      <c r="A16" s="2" t="s">
        <v>46</v>
      </c>
      <c r="B16" s="2" t="s">
        <v>47</v>
      </c>
      <c r="C16" s="2" t="s">
        <v>48</v>
      </c>
      <c r="D16" s="3" t="s">
        <v>49</v>
      </c>
      <c r="E16" s="3" t="s">
        <v>50</v>
      </c>
      <c r="F16" s="3"/>
    </row>
    <row r="17" spans="1:6" ht="18" customHeight="1" x14ac:dyDescent="0.2">
      <c r="A17" s="2" t="s">
        <v>51</v>
      </c>
      <c r="B17" s="2" t="s">
        <v>52</v>
      </c>
      <c r="C17" s="2" t="s">
        <v>53</v>
      </c>
      <c r="D17" s="3" t="s">
        <v>54</v>
      </c>
      <c r="E17" s="3" t="s">
        <v>55</v>
      </c>
      <c r="F17" s="3"/>
    </row>
    <row r="18" spans="1:6" ht="18" customHeight="1" x14ac:dyDescent="0.2">
      <c r="A18" s="2" t="s">
        <v>56</v>
      </c>
      <c r="B18" s="2" t="s">
        <v>57</v>
      </c>
      <c r="C18" s="2" t="s">
        <v>58</v>
      </c>
      <c r="D18" s="3" t="s">
        <v>30</v>
      </c>
      <c r="E18" s="3" t="s">
        <v>31</v>
      </c>
      <c r="F18" s="3" t="s">
        <v>59</v>
      </c>
    </row>
    <row r="19" spans="1:6" ht="18" customHeight="1" x14ac:dyDescent="0.2">
      <c r="A19" s="2" t="s">
        <v>60</v>
      </c>
      <c r="B19" s="2" t="s">
        <v>61</v>
      </c>
      <c r="C19" s="2" t="s">
        <v>62</v>
      </c>
      <c r="D19" s="3" t="s">
        <v>63</v>
      </c>
      <c r="E19" s="3"/>
      <c r="F19" s="3"/>
    </row>
    <row r="20" spans="1:6" ht="21.75" customHeight="1" x14ac:dyDescent="0.2">
      <c r="A20" s="29" t="s">
        <v>64</v>
      </c>
      <c r="B20" s="30"/>
      <c r="C20" s="30"/>
      <c r="D20" s="30"/>
      <c r="E20" s="30"/>
      <c r="F20" s="31"/>
    </row>
    <row r="21" spans="1:6" ht="18" customHeight="1" x14ac:dyDescent="0.2">
      <c r="A21" s="2" t="s">
        <v>65</v>
      </c>
      <c r="B21" s="2" t="s">
        <v>66</v>
      </c>
      <c r="C21" s="2" t="s">
        <v>67</v>
      </c>
      <c r="D21" s="3" t="s">
        <v>815</v>
      </c>
      <c r="E21" s="3" t="s">
        <v>833</v>
      </c>
      <c r="F21" s="3"/>
    </row>
    <row r="22" spans="1:6" ht="18" customHeight="1" x14ac:dyDescent="0.2">
      <c r="A22" s="2" t="s">
        <v>68</v>
      </c>
      <c r="B22" s="2" t="s">
        <v>69</v>
      </c>
      <c r="C22" s="2" t="s">
        <v>70</v>
      </c>
      <c r="D22" s="3" t="s">
        <v>817</v>
      </c>
      <c r="E22" s="3" t="s">
        <v>834</v>
      </c>
      <c r="F22" s="3"/>
    </row>
    <row r="23" spans="1:6" ht="18" customHeight="1" x14ac:dyDescent="0.2">
      <c r="A23" s="2" t="s">
        <v>71</v>
      </c>
      <c r="B23" s="2" t="s">
        <v>72</v>
      </c>
      <c r="C23" s="2" t="s">
        <v>73</v>
      </c>
      <c r="D23" s="3" t="s">
        <v>816</v>
      </c>
      <c r="E23" s="3" t="s">
        <v>835</v>
      </c>
      <c r="F23" s="3"/>
    </row>
    <row r="24" spans="1:6" ht="18" customHeight="1" x14ac:dyDescent="0.2">
      <c r="A24" s="2" t="s">
        <v>74</v>
      </c>
      <c r="B24" s="2" t="s">
        <v>75</v>
      </c>
      <c r="C24" s="2" t="s">
        <v>76</v>
      </c>
      <c r="D24" s="3" t="s">
        <v>818</v>
      </c>
      <c r="E24" s="3" t="s">
        <v>836</v>
      </c>
      <c r="F24" s="3"/>
    </row>
    <row r="25" spans="1:6" ht="18" customHeight="1" x14ac:dyDescent="0.2">
      <c r="A25" s="2" t="s">
        <v>77</v>
      </c>
      <c r="B25" s="2" t="s">
        <v>78</v>
      </c>
      <c r="C25" s="2" t="s">
        <v>79</v>
      </c>
      <c r="D25" s="3" t="s">
        <v>819</v>
      </c>
      <c r="E25" s="3" t="s">
        <v>837</v>
      </c>
      <c r="F25" s="3"/>
    </row>
    <row r="26" spans="1:6" ht="18" customHeight="1" x14ac:dyDescent="0.2">
      <c r="A26" s="2" t="s">
        <v>80</v>
      </c>
      <c r="B26" s="2" t="s">
        <v>81</v>
      </c>
      <c r="C26" s="2" t="s">
        <v>82</v>
      </c>
      <c r="D26" s="3" t="s">
        <v>821</v>
      </c>
      <c r="E26" s="3" t="s">
        <v>839</v>
      </c>
      <c r="F26" s="3"/>
    </row>
    <row r="27" spans="1:6" ht="18" customHeight="1" x14ac:dyDescent="0.2">
      <c r="A27" s="2" t="s">
        <v>83</v>
      </c>
      <c r="B27" s="2" t="s">
        <v>84</v>
      </c>
      <c r="C27" s="2" t="s">
        <v>85</v>
      </c>
      <c r="D27" s="3" t="s">
        <v>820</v>
      </c>
      <c r="E27" s="3" t="s">
        <v>838</v>
      </c>
      <c r="F27" s="3"/>
    </row>
    <row r="28" spans="1:6" ht="18" customHeight="1" x14ac:dyDescent="0.2">
      <c r="A28" s="2" t="s">
        <v>86</v>
      </c>
      <c r="B28" s="2" t="s">
        <v>87</v>
      </c>
      <c r="C28" s="2" t="s">
        <v>88</v>
      </c>
      <c r="D28" s="3" t="s">
        <v>822</v>
      </c>
      <c r="E28" s="3" t="s">
        <v>840</v>
      </c>
      <c r="F28" s="3"/>
    </row>
    <row r="29" spans="1:6" ht="18" customHeight="1" x14ac:dyDescent="0.2">
      <c r="A29" s="2" t="s">
        <v>89</v>
      </c>
      <c r="B29" s="2" t="s">
        <v>90</v>
      </c>
      <c r="C29" s="2" t="s">
        <v>91</v>
      </c>
      <c r="D29" s="3" t="s">
        <v>823</v>
      </c>
      <c r="E29" s="3" t="s">
        <v>841</v>
      </c>
      <c r="F29" s="3"/>
    </row>
    <row r="30" spans="1:6" ht="18" customHeight="1" x14ac:dyDescent="0.2">
      <c r="A30" s="2" t="s">
        <v>92</v>
      </c>
      <c r="B30" s="2" t="s">
        <v>93</v>
      </c>
      <c r="C30" s="2" t="s">
        <v>94</v>
      </c>
      <c r="D30" s="3" t="s">
        <v>824</v>
      </c>
      <c r="E30" s="3" t="s">
        <v>842</v>
      </c>
      <c r="F30" s="3"/>
    </row>
    <row r="31" spans="1:6" ht="18" customHeight="1" x14ac:dyDescent="0.2">
      <c r="A31" s="2" t="s">
        <v>95</v>
      </c>
      <c r="B31" s="2" t="s">
        <v>96</v>
      </c>
      <c r="C31" s="2" t="s">
        <v>97</v>
      </c>
      <c r="D31" s="3"/>
      <c r="E31" s="3"/>
      <c r="F31" s="3"/>
    </row>
    <row r="32" spans="1:6" ht="21.75" customHeight="1" x14ac:dyDescent="0.2">
      <c r="A32" s="28" t="s">
        <v>98</v>
      </c>
      <c r="B32" s="25"/>
      <c r="C32" s="25"/>
      <c r="D32" s="25"/>
      <c r="E32" s="25"/>
      <c r="F32" s="26"/>
    </row>
    <row r="33" spans="1:6" ht="18" customHeight="1" x14ac:dyDescent="0.2">
      <c r="A33" s="2" t="s">
        <v>99</v>
      </c>
      <c r="B33" s="2" t="s">
        <v>100</v>
      </c>
      <c r="C33" s="2" t="s">
        <v>101</v>
      </c>
      <c r="D33" s="3" t="s">
        <v>30</v>
      </c>
      <c r="E33" s="3"/>
      <c r="F33" s="3"/>
    </row>
    <row r="34" spans="1:6" ht="18" customHeight="1" x14ac:dyDescent="0.2">
      <c r="A34" s="2" t="s">
        <v>102</v>
      </c>
      <c r="B34" s="2" t="s">
        <v>103</v>
      </c>
      <c r="C34" s="2" t="s">
        <v>104</v>
      </c>
      <c r="D34" s="3"/>
      <c r="E34" s="3"/>
      <c r="F34" s="3"/>
    </row>
    <row r="35" spans="1:6" ht="18" customHeight="1" x14ac:dyDescent="0.2">
      <c r="A35" s="2" t="s">
        <v>105</v>
      </c>
      <c r="B35" s="2" t="s">
        <v>106</v>
      </c>
      <c r="C35" s="2" t="s">
        <v>107</v>
      </c>
      <c r="D35" s="3"/>
      <c r="E35" s="3"/>
      <c r="F35" s="3"/>
    </row>
    <row r="36" spans="1:6" ht="18" customHeight="1" x14ac:dyDescent="0.2">
      <c r="A36" s="2" t="s">
        <v>108</v>
      </c>
      <c r="B36" s="2" t="s">
        <v>109</v>
      </c>
      <c r="C36" s="2" t="s">
        <v>110</v>
      </c>
      <c r="D36" s="3"/>
      <c r="E36" s="3"/>
      <c r="F36" s="3"/>
    </row>
    <row r="37" spans="1:6" ht="18" customHeight="1" x14ac:dyDescent="0.2">
      <c r="A37" s="2" t="s">
        <v>111</v>
      </c>
      <c r="B37" s="2" t="s">
        <v>112</v>
      </c>
      <c r="C37" s="2" t="s">
        <v>113</v>
      </c>
      <c r="D37" s="3"/>
      <c r="E37" s="3"/>
      <c r="F37" s="3"/>
    </row>
    <row r="38" spans="1:6" ht="21.75" customHeight="1" x14ac:dyDescent="0.2">
      <c r="A38" s="28" t="s">
        <v>114</v>
      </c>
      <c r="B38" s="25"/>
      <c r="C38" s="25"/>
      <c r="D38" s="25"/>
      <c r="E38" s="25"/>
      <c r="F38" s="26"/>
    </row>
    <row r="39" spans="1:6" ht="18" customHeight="1" x14ac:dyDescent="0.2">
      <c r="A39" s="2" t="s">
        <v>115</v>
      </c>
      <c r="B39" s="2" t="s">
        <v>116</v>
      </c>
      <c r="C39" s="2" t="s">
        <v>117</v>
      </c>
      <c r="D39" s="3"/>
      <c r="E39" s="4" t="s">
        <v>118</v>
      </c>
      <c r="F39" s="4" t="s">
        <v>118</v>
      </c>
    </row>
    <row r="40" spans="1:6" ht="18" customHeight="1" x14ac:dyDescent="0.2">
      <c r="A40" s="2" t="s">
        <v>119</v>
      </c>
      <c r="B40" s="2" t="s">
        <v>120</v>
      </c>
      <c r="C40" s="2" t="s">
        <v>121</v>
      </c>
      <c r="D40" s="3"/>
      <c r="E40" s="4" t="s">
        <v>118</v>
      </c>
      <c r="F40" s="4" t="s">
        <v>118</v>
      </c>
    </row>
    <row r="41" spans="1:6" ht="18" customHeight="1" x14ac:dyDescent="0.2">
      <c r="A41" s="2" t="s">
        <v>122</v>
      </c>
      <c r="B41" s="2" t="s">
        <v>123</v>
      </c>
      <c r="C41" s="2" t="s">
        <v>124</v>
      </c>
      <c r="D41" s="3"/>
      <c r="E41" s="4" t="s">
        <v>118</v>
      </c>
      <c r="F41" s="4" t="s">
        <v>118</v>
      </c>
    </row>
    <row r="42" spans="1:6" ht="18" customHeight="1" x14ac:dyDescent="0.2">
      <c r="A42" s="2" t="s">
        <v>125</v>
      </c>
      <c r="B42" s="2" t="s">
        <v>126</v>
      </c>
      <c r="C42" s="2" t="s">
        <v>127</v>
      </c>
      <c r="D42" s="3"/>
      <c r="E42" s="4" t="s">
        <v>118</v>
      </c>
      <c r="F42" s="4" t="s">
        <v>118</v>
      </c>
    </row>
    <row r="43" spans="1:6" ht="18" customHeight="1" x14ac:dyDescent="0.2">
      <c r="A43" s="2" t="s">
        <v>128</v>
      </c>
      <c r="B43" s="2" t="s">
        <v>129</v>
      </c>
      <c r="C43" s="2" t="s">
        <v>130</v>
      </c>
      <c r="D43" s="3"/>
      <c r="E43" s="4" t="s">
        <v>118</v>
      </c>
      <c r="F43" s="4" t="s">
        <v>118</v>
      </c>
    </row>
    <row r="44" spans="1:6" ht="18" customHeight="1" x14ac:dyDescent="0.2">
      <c r="A44" s="2" t="s">
        <v>131</v>
      </c>
      <c r="B44" s="2" t="s">
        <v>132</v>
      </c>
      <c r="C44" s="2" t="s">
        <v>133</v>
      </c>
      <c r="D44" s="3"/>
      <c r="E44" s="4" t="s">
        <v>118</v>
      </c>
      <c r="F44" s="4" t="s">
        <v>118</v>
      </c>
    </row>
    <row r="45" spans="1:6" ht="15.75" customHeight="1" x14ac:dyDescent="0.2"/>
    <row r="46" spans="1:6" ht="15.75" customHeight="1" x14ac:dyDescent="0.2">
      <c r="A46" s="5" t="s">
        <v>134</v>
      </c>
      <c r="B46" s="6" t="s">
        <v>135</v>
      </c>
      <c r="C46" s="7" t="s">
        <v>136</v>
      </c>
    </row>
    <row r="47" spans="1:6" ht="15.75" customHeight="1" x14ac:dyDescent="0.2">
      <c r="A47" s="8"/>
      <c r="B47" s="8"/>
      <c r="C47" s="9"/>
      <c r="D47" s="9"/>
      <c r="E47" s="10"/>
      <c r="F47" s="9"/>
    </row>
    <row r="48" spans="1:6" ht="15.75" customHeight="1" x14ac:dyDescent="0.2">
      <c r="A48" s="9"/>
      <c r="B48" s="8"/>
      <c r="C48" s="9"/>
      <c r="D48" s="9"/>
      <c r="E48" s="9"/>
      <c r="F48" s="9"/>
    </row>
    <row r="49" spans="1:5" ht="15.75" customHeight="1" x14ac:dyDescent="0.2"/>
    <row r="50" spans="1:5" ht="15.75" customHeight="1" x14ac:dyDescent="0.2"/>
    <row r="51" spans="1:5" ht="15.75" customHeight="1" x14ac:dyDescent="0.2">
      <c r="A51" s="34"/>
      <c r="B51" s="36" t="s">
        <v>825</v>
      </c>
      <c r="C51" s="36" t="s">
        <v>97</v>
      </c>
      <c r="D51" s="33" t="s">
        <v>829</v>
      </c>
      <c r="E51" s="33" t="s">
        <v>843</v>
      </c>
    </row>
    <row r="52" spans="1:5" ht="15.75" customHeight="1" x14ac:dyDescent="0.2">
      <c r="A52" s="35"/>
      <c r="B52" s="36" t="s">
        <v>826</v>
      </c>
      <c r="C52" s="36" t="s">
        <v>97</v>
      </c>
      <c r="D52" s="33" t="s">
        <v>830</v>
      </c>
      <c r="E52" s="33" t="s">
        <v>834</v>
      </c>
    </row>
    <row r="53" spans="1:5" ht="15.75" customHeight="1" x14ac:dyDescent="0.2">
      <c r="A53" s="35"/>
      <c r="B53" s="36" t="s">
        <v>827</v>
      </c>
      <c r="C53" s="36" t="s">
        <v>97</v>
      </c>
      <c r="D53" s="33" t="s">
        <v>831</v>
      </c>
      <c r="E53" s="33" t="s">
        <v>844</v>
      </c>
    </row>
    <row r="54" spans="1:5" ht="15.75" customHeight="1" x14ac:dyDescent="0.2">
      <c r="A54" s="35"/>
      <c r="B54" s="36" t="s">
        <v>828</v>
      </c>
      <c r="C54" s="36" t="s">
        <v>97</v>
      </c>
      <c r="D54" s="33" t="s">
        <v>832</v>
      </c>
      <c r="E54" s="33" t="s">
        <v>845</v>
      </c>
    </row>
    <row r="55" spans="1:5" ht="15.75" customHeight="1" x14ac:dyDescent="0.2"/>
    <row r="56" spans="1:5" ht="15.75" customHeight="1" x14ac:dyDescent="0.2"/>
    <row r="57" spans="1:5" ht="15.75" customHeight="1" x14ac:dyDescent="0.2"/>
    <row r="58" spans="1:5" ht="15.75" customHeight="1" x14ac:dyDescent="0.2"/>
    <row r="59" spans="1:5" ht="15.75" customHeight="1" x14ac:dyDescent="0.2"/>
    <row r="60" spans="1:5" ht="15.75" customHeight="1" x14ac:dyDescent="0.2"/>
    <row r="61" spans="1:5" ht="15.75" customHeight="1" x14ac:dyDescent="0.2"/>
    <row r="62" spans="1:5" ht="15.75" customHeight="1" x14ac:dyDescent="0.2"/>
    <row r="63" spans="1:5" ht="15.75" customHeight="1" x14ac:dyDescent="0.2"/>
    <row r="64" spans="1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7">
    <mergeCell ref="A32:F32"/>
    <mergeCell ref="A38:F38"/>
    <mergeCell ref="A1:F1"/>
    <mergeCell ref="A2:F2"/>
    <mergeCell ref="A4:F4"/>
    <mergeCell ref="A12:F12"/>
    <mergeCell ref="A20:F20"/>
  </mergeCells>
  <phoneticPr fontId="16" type="noConversion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M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7" customWidth="1"/>
    <col min="2" max="2" width="32" customWidth="1"/>
    <col min="3" max="3" width="28" customWidth="1"/>
    <col min="4" max="4" width="24" customWidth="1"/>
    <col min="5" max="5" width="28" customWidth="1"/>
    <col min="6" max="6" width="24" customWidth="1"/>
    <col min="7" max="7" width="12" customWidth="1"/>
    <col min="8" max="8" width="10" customWidth="1"/>
    <col min="9" max="9" width="30" customWidth="1"/>
    <col min="10" max="10" width="8" customWidth="1"/>
    <col min="11" max="12" width="14" customWidth="1"/>
    <col min="13" max="13" width="38" customWidth="1"/>
  </cols>
  <sheetData>
    <row r="1" spans="1:13" ht="27.75" customHeight="1" x14ac:dyDescent="0.2">
      <c r="A1" s="32" t="s">
        <v>137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18" customHeight="1" x14ac:dyDescent="0.2">
      <c r="A2" s="27" t="s">
        <v>138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3" ht="27.75" customHeight="1" x14ac:dyDescent="0.2">
      <c r="A3" s="1" t="s">
        <v>2</v>
      </c>
      <c r="B3" s="1" t="s">
        <v>139</v>
      </c>
      <c r="C3" s="1" t="s">
        <v>140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145</v>
      </c>
      <c r="I3" s="1" t="s">
        <v>146</v>
      </c>
      <c r="J3" s="1" t="s">
        <v>147</v>
      </c>
      <c r="K3" s="1" t="s">
        <v>148</v>
      </c>
      <c r="L3" s="1" t="s">
        <v>149</v>
      </c>
      <c r="M3" s="1" t="s">
        <v>150</v>
      </c>
    </row>
    <row r="4" spans="1:13" ht="18" customHeight="1" x14ac:dyDescent="0.2">
      <c r="A4" s="11" t="s">
        <v>151</v>
      </c>
      <c r="B4" s="11" t="s">
        <v>152</v>
      </c>
      <c r="C4" s="11" t="s">
        <v>10</v>
      </c>
      <c r="D4" s="11" t="str">
        <f>IFERROR(IF('IP Input Sheet'!D5&lt;&gt;"",'IP Input Sheet'!D5,IF('IP Input Sheet'!E5&lt;&gt;"",'IP Input Sheet'!E5,'IP Input Sheet'!F5)),"[Enter IP]")</f>
        <v>10.3.118.28</v>
      </c>
      <c r="E4" s="11" t="s">
        <v>47</v>
      </c>
      <c r="F4" s="11" t="str">
        <f>IFERROR(IF('IP Input Sheet'!D16&lt;&gt;"",'IP Input Sheet'!D16,IF('IP Input Sheet'!E16&lt;&gt;"",'IP Input Sheet'!E16,'IP Input Sheet'!F16)),"[Enter IP]")</f>
        <v>10.3.118.30</v>
      </c>
      <c r="G4" s="11" t="s">
        <v>153</v>
      </c>
      <c r="H4" s="11" t="s">
        <v>154</v>
      </c>
      <c r="I4" s="11" t="s">
        <v>155</v>
      </c>
      <c r="J4" s="12" t="s">
        <v>156</v>
      </c>
      <c r="K4" s="13" t="s">
        <v>157</v>
      </c>
      <c r="L4" s="11" t="s">
        <v>158</v>
      </c>
      <c r="M4" s="11" t="s">
        <v>159</v>
      </c>
    </row>
    <row r="5" spans="1:13" ht="18" customHeight="1" x14ac:dyDescent="0.2">
      <c r="A5" s="14" t="s">
        <v>160</v>
      </c>
      <c r="B5" s="14" t="s">
        <v>161</v>
      </c>
      <c r="C5" s="14" t="s">
        <v>10</v>
      </c>
      <c r="D5" s="14" t="str">
        <f>IFERROR(IF('IP Input Sheet'!D5&lt;&gt;"",'IP Input Sheet'!D5,IF('IP Input Sheet'!E5&lt;&gt;"",'IP Input Sheet'!E5,'IP Input Sheet'!F5)),"[Enter IP]")</f>
        <v>10.3.118.28</v>
      </c>
      <c r="E5" s="14" t="s">
        <v>15</v>
      </c>
      <c r="F5" s="14" t="str">
        <f>IFERROR(IF('IP Input Sheet'!D6&lt;&gt;"",'IP Input Sheet'!D6,IF('IP Input Sheet'!E6&lt;&gt;"",'IP Input Sheet'!E6,'IP Input Sheet'!F6)),"[Enter IP]")</f>
        <v>10.5.25.64/26</v>
      </c>
      <c r="G5" s="14" t="s">
        <v>153</v>
      </c>
      <c r="H5" s="14" t="s">
        <v>154</v>
      </c>
      <c r="I5" s="14" t="s">
        <v>162</v>
      </c>
      <c r="J5" s="12" t="s">
        <v>156</v>
      </c>
      <c r="K5" s="13" t="s">
        <v>157</v>
      </c>
      <c r="L5" s="14" t="s">
        <v>158</v>
      </c>
      <c r="M5" s="14" t="s">
        <v>163</v>
      </c>
    </row>
    <row r="6" spans="1:13" ht="18" customHeight="1" x14ac:dyDescent="0.2">
      <c r="A6" s="11" t="s">
        <v>164</v>
      </c>
      <c r="B6" s="11" t="s">
        <v>165</v>
      </c>
      <c r="C6" s="11" t="s">
        <v>10</v>
      </c>
      <c r="D6" s="11" t="str">
        <f>IFERROR(IF('IP Input Sheet'!D5&lt;&gt;"",'IP Input Sheet'!D5,IF('IP Input Sheet'!E5&lt;&gt;"",'IP Input Sheet'!E5,'IP Input Sheet'!F5)),"[Enter IP]")</f>
        <v>10.3.118.28</v>
      </c>
      <c r="E6" s="11" t="s">
        <v>37</v>
      </c>
      <c r="F6" s="11" t="str">
        <f>IFERROR(IF('IP Input Sheet'!D13&lt;&gt;"",'IP Input Sheet'!D13,IF('IP Input Sheet'!E13&lt;&gt;"",'IP Input Sheet'!E13,'IP Input Sheet'!F13)),"[Enter IP]")</f>
        <v>10.3.118.18</v>
      </c>
      <c r="G6" s="11" t="s">
        <v>153</v>
      </c>
      <c r="H6" s="11" t="s">
        <v>154</v>
      </c>
      <c r="I6" s="11" t="s">
        <v>166</v>
      </c>
      <c r="J6" s="12" t="s">
        <v>156</v>
      </c>
      <c r="K6" s="13" t="s">
        <v>157</v>
      </c>
      <c r="L6" s="11" t="s">
        <v>158</v>
      </c>
      <c r="M6" s="11"/>
    </row>
    <row r="7" spans="1:13" ht="18" customHeight="1" x14ac:dyDescent="0.2">
      <c r="A7" s="14" t="s">
        <v>167</v>
      </c>
      <c r="B7" s="14" t="s">
        <v>168</v>
      </c>
      <c r="C7" s="14" t="s">
        <v>10</v>
      </c>
      <c r="D7" s="14" t="str">
        <f>IFERROR(IF('IP Input Sheet'!D5&lt;&gt;"",'IP Input Sheet'!D5,IF('IP Input Sheet'!E5&lt;&gt;"",'IP Input Sheet'!E5,'IP Input Sheet'!F5)),"[Enter IP]")</f>
        <v>10.3.118.28</v>
      </c>
      <c r="E7" s="14" t="s">
        <v>169</v>
      </c>
      <c r="F7" s="14" t="str">
        <f>IFERROR(IF('IP Input Sheet'!D14&lt;&gt;"",'IP Input Sheet'!D14,IF('IP Input Sheet'!E14&lt;&gt;"",'IP Input Sheet'!E14,'IP Input Sheet'!F14)),"[Enter IP]")</f>
        <v>10.3.118.0/24</v>
      </c>
      <c r="G7" s="14" t="s">
        <v>153</v>
      </c>
      <c r="H7" s="14" t="s">
        <v>154</v>
      </c>
      <c r="I7" s="14" t="s">
        <v>170</v>
      </c>
      <c r="J7" s="12" t="s">
        <v>156</v>
      </c>
      <c r="K7" s="13" t="s">
        <v>157</v>
      </c>
      <c r="L7" s="14" t="s">
        <v>158</v>
      </c>
      <c r="M7" s="14"/>
    </row>
    <row r="8" spans="1:13" ht="18" customHeight="1" x14ac:dyDescent="0.2">
      <c r="A8" s="11" t="s">
        <v>171</v>
      </c>
      <c r="B8" s="11" t="s">
        <v>172</v>
      </c>
      <c r="C8" s="11" t="s">
        <v>10</v>
      </c>
      <c r="D8" s="11" t="str">
        <f>IFERROR(IF('IP Input Sheet'!D5&lt;&gt;"",'IP Input Sheet'!D5,IF('IP Input Sheet'!E5&lt;&gt;"",'IP Input Sheet'!E5,'IP Input Sheet'!F5)),"[Enter IP]")</f>
        <v>10.3.118.28</v>
      </c>
      <c r="E8" s="11" t="s">
        <v>116</v>
      </c>
      <c r="F8" s="11" t="str">
        <f>'IP Input Sheet'!D24</f>
        <v>10.3.111.122</v>
      </c>
      <c r="G8" s="11" t="s">
        <v>173</v>
      </c>
      <c r="H8" s="11" t="s">
        <v>174</v>
      </c>
      <c r="I8" s="11" t="s">
        <v>175</v>
      </c>
      <c r="J8" s="12" t="s">
        <v>156</v>
      </c>
      <c r="K8" s="13" t="s">
        <v>157</v>
      </c>
      <c r="L8" s="11" t="s">
        <v>163</v>
      </c>
      <c r="M8" s="11" t="s">
        <v>176</v>
      </c>
    </row>
    <row r="9" spans="1:13" ht="18" customHeight="1" x14ac:dyDescent="0.2">
      <c r="A9" s="14" t="s">
        <v>177</v>
      </c>
      <c r="B9" s="14" t="s">
        <v>178</v>
      </c>
      <c r="C9" s="14" t="s">
        <v>10</v>
      </c>
      <c r="D9" s="14" t="str">
        <f>IFERROR(IF('IP Input Sheet'!D5&lt;&gt;"",'IP Input Sheet'!D5,IF('IP Input Sheet'!E5&lt;&gt;"",'IP Input Sheet'!E5,'IP Input Sheet'!F5)),"[Enter IP]")</f>
        <v>10.3.118.28</v>
      </c>
      <c r="E9" s="14" t="s">
        <v>120</v>
      </c>
      <c r="F9" s="14" t="str">
        <f>'IP Input Sheet'!D25</f>
        <v>10.3.111.133</v>
      </c>
      <c r="G9" s="14" t="s">
        <v>179</v>
      </c>
      <c r="H9" s="14" t="s">
        <v>180</v>
      </c>
      <c r="I9" s="14" t="s">
        <v>181</v>
      </c>
      <c r="J9" s="12" t="s">
        <v>156</v>
      </c>
      <c r="K9" s="13" t="s">
        <v>157</v>
      </c>
      <c r="L9" s="14" t="s">
        <v>158</v>
      </c>
      <c r="M9" s="14"/>
    </row>
    <row r="10" spans="1:13" ht="18" customHeight="1" x14ac:dyDescent="0.2">
      <c r="A10" s="11" t="s">
        <v>182</v>
      </c>
      <c r="B10" s="11" t="s">
        <v>183</v>
      </c>
      <c r="C10" s="11" t="s">
        <v>10</v>
      </c>
      <c r="D10" s="11" t="str">
        <f>IFERROR(IF('IP Input Sheet'!D5&lt;&gt;"",'IP Input Sheet'!D5,IF('IP Input Sheet'!E5&lt;&gt;"",'IP Input Sheet'!E5,'IP Input Sheet'!F5)),"[Enter IP]")</f>
        <v>10.3.118.28</v>
      </c>
      <c r="E10" s="11" t="s">
        <v>184</v>
      </c>
      <c r="F10" s="11">
        <f>IFERROR(IF('IP Input Sheet'!D20&lt;&gt;"",'IP Input Sheet'!D20,IF('IP Input Sheet'!E20&lt;&gt;"",'IP Input Sheet'!E20,'IP Input Sheet'!F20)),"[Enter IP]")</f>
        <v>0</v>
      </c>
      <c r="G10" s="11" t="s">
        <v>153</v>
      </c>
      <c r="H10" s="11" t="s">
        <v>154</v>
      </c>
      <c r="I10" s="11" t="s">
        <v>185</v>
      </c>
      <c r="J10" s="12" t="s">
        <v>156</v>
      </c>
      <c r="K10" s="13" t="s">
        <v>157</v>
      </c>
      <c r="L10" s="11" t="s">
        <v>158</v>
      </c>
      <c r="M10" s="11"/>
    </row>
    <row r="11" spans="1:13" ht="18" customHeight="1" x14ac:dyDescent="0.2">
      <c r="A11" s="14" t="s">
        <v>186</v>
      </c>
      <c r="B11" s="14" t="s">
        <v>187</v>
      </c>
      <c r="C11" s="14" t="s">
        <v>10</v>
      </c>
      <c r="D11" s="14" t="str">
        <f>IFERROR(IF('IP Input Sheet'!D5&lt;&gt;"",'IP Input Sheet'!D5,IF('IP Input Sheet'!E5&lt;&gt;"",'IP Input Sheet'!E5,'IP Input Sheet'!F5)),"[Enter IP]")</f>
        <v>10.3.118.28</v>
      </c>
      <c r="E11" s="14" t="s">
        <v>188</v>
      </c>
      <c r="F11" s="14" t="str">
        <f>IFERROR(IF('IP Input Sheet'!D7&lt;&gt;"",'IP Input Sheet'!D7,IF('IP Input Sheet'!E7&lt;&gt;"",'IP Input Sheet'!E7,'IP Input Sheet'!F7)),"[Enter IP]")</f>
        <v>10.5.25.64/26</v>
      </c>
      <c r="G11" s="14" t="s">
        <v>189</v>
      </c>
      <c r="H11" s="14" t="s">
        <v>154</v>
      </c>
      <c r="I11" s="14" t="s">
        <v>190</v>
      </c>
      <c r="J11" s="12" t="s">
        <v>156</v>
      </c>
      <c r="K11" s="13" t="s">
        <v>157</v>
      </c>
      <c r="L11" s="14" t="s">
        <v>158</v>
      </c>
      <c r="M11" s="14" t="s">
        <v>191</v>
      </c>
    </row>
    <row r="12" spans="1:13" ht="18" customHeight="1" x14ac:dyDescent="0.2">
      <c r="A12" s="11" t="s">
        <v>192</v>
      </c>
      <c r="B12" s="11" t="s">
        <v>193</v>
      </c>
      <c r="C12" s="11" t="s">
        <v>10</v>
      </c>
      <c r="D12" s="11" t="str">
        <f>IFERROR(IF('IP Input Sheet'!D5&lt;&gt;"",'IP Input Sheet'!D5,IF('IP Input Sheet'!E5&lt;&gt;"",'IP Input Sheet'!E5,'IP Input Sheet'!F5)),"[Enter IP]")</f>
        <v>10.3.118.28</v>
      </c>
      <c r="E12" s="11" t="s">
        <v>194</v>
      </c>
      <c r="F12" s="11" t="str">
        <f>IFERROR(IF('IP Input Sheet'!D7&lt;&gt;"",'IP Input Sheet'!D7,IF('IP Input Sheet'!E7&lt;&gt;"",'IP Input Sheet'!E7,'IP Input Sheet'!F7)),"[Enter IP]")</f>
        <v>10.5.25.64/26</v>
      </c>
      <c r="G12" s="11" t="s">
        <v>195</v>
      </c>
      <c r="H12" s="11" t="s">
        <v>154</v>
      </c>
      <c r="I12" s="11" t="s">
        <v>196</v>
      </c>
      <c r="J12" s="12" t="s">
        <v>156</v>
      </c>
      <c r="K12" s="13" t="s">
        <v>157</v>
      </c>
      <c r="L12" s="11" t="s">
        <v>158</v>
      </c>
      <c r="M12" s="11"/>
    </row>
    <row r="13" spans="1:13" ht="18" customHeight="1" x14ac:dyDescent="0.2">
      <c r="A13" s="14" t="s">
        <v>197</v>
      </c>
      <c r="B13" s="14" t="s">
        <v>198</v>
      </c>
      <c r="C13" s="14" t="s">
        <v>10</v>
      </c>
      <c r="D13" s="14" t="str">
        <f>IFERROR(IF('IP Input Sheet'!D5&lt;&gt;"",'IP Input Sheet'!D5,IF('IP Input Sheet'!E5&lt;&gt;"",'IP Input Sheet'!E5,'IP Input Sheet'!F5)),"[Enter IP]")</f>
        <v>10.3.118.28</v>
      </c>
      <c r="E13" s="14" t="s">
        <v>194</v>
      </c>
      <c r="F13" s="14" t="str">
        <f>IFERROR(IF('IP Input Sheet'!D7&lt;&gt;"",'IP Input Sheet'!D7,IF('IP Input Sheet'!E7&lt;&gt;"",'IP Input Sheet'!E7,'IP Input Sheet'!F7)),"[Enter IP]")</f>
        <v>10.5.25.64/26</v>
      </c>
      <c r="G13" s="14" t="s">
        <v>199</v>
      </c>
      <c r="H13" s="14" t="s">
        <v>154</v>
      </c>
      <c r="I13" s="14" t="s">
        <v>200</v>
      </c>
      <c r="J13" s="12" t="s">
        <v>156</v>
      </c>
      <c r="K13" s="13" t="s">
        <v>157</v>
      </c>
      <c r="L13" s="14" t="s">
        <v>158</v>
      </c>
      <c r="M13" s="14"/>
    </row>
    <row r="14" spans="1:13" ht="18" customHeight="1" x14ac:dyDescent="0.2">
      <c r="A14" s="11" t="s">
        <v>201</v>
      </c>
      <c r="B14" s="11" t="s">
        <v>202</v>
      </c>
      <c r="C14" s="11" t="s">
        <v>10</v>
      </c>
      <c r="D14" s="11" t="str">
        <f>IFERROR(IF('IP Input Sheet'!D5&lt;&gt;"",'IP Input Sheet'!D5,IF('IP Input Sheet'!E5&lt;&gt;"",'IP Input Sheet'!E5,'IP Input Sheet'!F5)),"[Enter IP]")</f>
        <v>10.3.118.28</v>
      </c>
      <c r="E14" s="11" t="s">
        <v>194</v>
      </c>
      <c r="F14" s="11" t="str">
        <f>IFERROR(IF('IP Input Sheet'!D7&lt;&gt;"",'IP Input Sheet'!D7,IF('IP Input Sheet'!E7&lt;&gt;"",'IP Input Sheet'!E7,'IP Input Sheet'!F7)),"[Enter IP]")</f>
        <v>10.5.25.64/26</v>
      </c>
      <c r="G14" s="11" t="s">
        <v>203</v>
      </c>
      <c r="H14" s="11" t="s">
        <v>154</v>
      </c>
      <c r="I14" s="11" t="s">
        <v>204</v>
      </c>
      <c r="J14" s="12" t="s">
        <v>156</v>
      </c>
      <c r="K14" s="13" t="s">
        <v>157</v>
      </c>
      <c r="L14" s="11" t="s">
        <v>158</v>
      </c>
      <c r="M14" s="11"/>
    </row>
    <row r="15" spans="1:13" ht="18" customHeight="1" x14ac:dyDescent="0.2">
      <c r="A15" s="14" t="s">
        <v>205</v>
      </c>
      <c r="B15" s="14" t="s">
        <v>206</v>
      </c>
      <c r="C15" s="14" t="s">
        <v>10</v>
      </c>
      <c r="D15" s="14" t="str">
        <f>IFERROR(IF('IP Input Sheet'!D5&lt;&gt;"",'IP Input Sheet'!D5,IF('IP Input Sheet'!E5&lt;&gt;"",'IP Input Sheet'!E5,'IP Input Sheet'!F5)),"[Enter IP]")</f>
        <v>10.3.118.28</v>
      </c>
      <c r="E15" s="14" t="s">
        <v>194</v>
      </c>
      <c r="F15" s="14" t="str">
        <f>IFERROR(IF('IP Input Sheet'!D7&lt;&gt;"",'IP Input Sheet'!D7,IF('IP Input Sheet'!E7&lt;&gt;"",'IP Input Sheet'!E7,'IP Input Sheet'!F7)),"[Enter IP]")</f>
        <v>10.5.25.64/26</v>
      </c>
      <c r="G15" s="14" t="s">
        <v>207</v>
      </c>
      <c r="H15" s="14" t="s">
        <v>154</v>
      </c>
      <c r="I15" s="14" t="s">
        <v>208</v>
      </c>
      <c r="J15" s="12" t="s">
        <v>156</v>
      </c>
      <c r="K15" s="13" t="s">
        <v>157</v>
      </c>
      <c r="L15" s="14" t="s">
        <v>158</v>
      </c>
      <c r="M15" s="14"/>
    </row>
    <row r="16" spans="1:13" ht="18" customHeight="1" x14ac:dyDescent="0.2">
      <c r="A16" s="11" t="s">
        <v>209</v>
      </c>
      <c r="B16" s="11" t="s">
        <v>210</v>
      </c>
      <c r="C16" s="11" t="s">
        <v>10</v>
      </c>
      <c r="D16" s="11" t="str">
        <f>IFERROR(IF('IP Input Sheet'!D5&lt;&gt;"",'IP Input Sheet'!D5,IF('IP Input Sheet'!E5&lt;&gt;"",'IP Input Sheet'!E5,'IP Input Sheet'!F5)),"[Enter IP]")</f>
        <v>10.3.118.28</v>
      </c>
      <c r="E16" s="11" t="s">
        <v>194</v>
      </c>
      <c r="F16" s="11" t="str">
        <f>IFERROR(IF('IP Input Sheet'!D7&lt;&gt;"",'IP Input Sheet'!D7,IF('IP Input Sheet'!E7&lt;&gt;"",'IP Input Sheet'!E7,'IP Input Sheet'!F7)),"[Enter IP]")</f>
        <v>10.5.25.64/26</v>
      </c>
      <c r="G16" s="11" t="s">
        <v>211</v>
      </c>
      <c r="H16" s="11" t="s">
        <v>154</v>
      </c>
      <c r="I16" s="11" t="s">
        <v>208</v>
      </c>
      <c r="J16" s="12" t="s">
        <v>156</v>
      </c>
      <c r="K16" s="13" t="s">
        <v>157</v>
      </c>
      <c r="L16" s="11" t="s">
        <v>158</v>
      </c>
      <c r="M16" s="11"/>
    </row>
    <row r="17" spans="1:13" ht="18" customHeight="1" x14ac:dyDescent="0.2">
      <c r="A17" s="14" t="s">
        <v>212</v>
      </c>
      <c r="B17" s="14" t="s">
        <v>213</v>
      </c>
      <c r="C17" s="14" t="s">
        <v>10</v>
      </c>
      <c r="D17" s="14" t="str">
        <f>IFERROR(IF('IP Input Sheet'!D5&lt;&gt;"",'IP Input Sheet'!D5,IF('IP Input Sheet'!E5&lt;&gt;"",'IP Input Sheet'!E5,'IP Input Sheet'!F5)),"[Enter IP]")</f>
        <v>10.3.118.28</v>
      </c>
      <c r="E17" s="14" t="s">
        <v>188</v>
      </c>
      <c r="F17" s="14" t="str">
        <f>IFERROR(IF('IP Input Sheet'!D7&lt;&gt;"",'IP Input Sheet'!D7,IF('IP Input Sheet'!E7&lt;&gt;"",'IP Input Sheet'!E7,'IP Input Sheet'!F7)),"[Enter IP]")</f>
        <v>10.5.25.64/26</v>
      </c>
      <c r="G17" s="14" t="s">
        <v>214</v>
      </c>
      <c r="H17" s="14" t="s">
        <v>154</v>
      </c>
      <c r="I17" s="14" t="s">
        <v>215</v>
      </c>
      <c r="J17" s="12" t="s">
        <v>156</v>
      </c>
      <c r="K17" s="13" t="s">
        <v>157</v>
      </c>
      <c r="L17" s="14" t="s">
        <v>158</v>
      </c>
      <c r="M17" s="14"/>
    </row>
    <row r="18" spans="1:13" ht="18" customHeight="1" x14ac:dyDescent="0.2">
      <c r="A18" s="11" t="s">
        <v>216</v>
      </c>
      <c r="B18" s="11" t="s">
        <v>217</v>
      </c>
      <c r="C18" s="11" t="s">
        <v>15</v>
      </c>
      <c r="D18" s="11" t="str">
        <f>IFERROR(IF('IP Input Sheet'!D6&lt;&gt;"",'IP Input Sheet'!D6,IF('IP Input Sheet'!E6&lt;&gt;"",'IP Input Sheet'!E6,'IP Input Sheet'!F6)),"[Enter IP]")</f>
        <v>10.5.25.64/26</v>
      </c>
      <c r="E18" s="11" t="s">
        <v>120</v>
      </c>
      <c r="F18" s="11" t="str">
        <f>'IP Input Sheet'!D25</f>
        <v>10.3.111.133</v>
      </c>
      <c r="G18" s="11" t="s">
        <v>179</v>
      </c>
      <c r="H18" s="11" t="s">
        <v>180</v>
      </c>
      <c r="I18" s="11" t="s">
        <v>218</v>
      </c>
      <c r="J18" s="12" t="s">
        <v>156</v>
      </c>
      <c r="K18" s="13" t="s">
        <v>157</v>
      </c>
      <c r="L18" s="11" t="s">
        <v>158</v>
      </c>
      <c r="M18" s="11"/>
    </row>
    <row r="19" spans="1:13" ht="18" customHeight="1" x14ac:dyDescent="0.2">
      <c r="A19" s="14" t="s">
        <v>219</v>
      </c>
      <c r="B19" s="14" t="s">
        <v>220</v>
      </c>
      <c r="C19" s="14" t="s">
        <v>15</v>
      </c>
      <c r="D19" s="14" t="str">
        <f>IFERROR(IF('IP Input Sheet'!D6&lt;&gt;"",'IP Input Sheet'!D6,IF('IP Input Sheet'!E6&lt;&gt;"",'IP Input Sheet'!E6,'IP Input Sheet'!F6)),"[Enter IP]")</f>
        <v>10.5.25.64/26</v>
      </c>
      <c r="E19" s="14" t="s">
        <v>116</v>
      </c>
      <c r="F19" s="14" t="str">
        <f>'IP Input Sheet'!D24</f>
        <v>10.3.111.122</v>
      </c>
      <c r="G19" s="14" t="s">
        <v>173</v>
      </c>
      <c r="H19" s="14" t="s">
        <v>174</v>
      </c>
      <c r="I19" s="14" t="s">
        <v>221</v>
      </c>
      <c r="J19" s="12" t="s">
        <v>156</v>
      </c>
      <c r="K19" s="13" t="s">
        <v>157</v>
      </c>
      <c r="L19" s="14" t="s">
        <v>158</v>
      </c>
      <c r="M19" s="14"/>
    </row>
    <row r="20" spans="1:13" ht="18" customHeight="1" x14ac:dyDescent="0.2">
      <c r="A20" s="11" t="s">
        <v>222</v>
      </c>
      <c r="B20" s="11" t="s">
        <v>223</v>
      </c>
      <c r="C20" s="11" t="s">
        <v>15</v>
      </c>
      <c r="D20" s="11" t="str">
        <f>IFERROR(IF('IP Input Sheet'!D6&lt;&gt;"",'IP Input Sheet'!D6,IF('IP Input Sheet'!E6&lt;&gt;"",'IP Input Sheet'!E6,'IP Input Sheet'!F6)),"[Enter IP]")</f>
        <v>10.5.25.64/26</v>
      </c>
      <c r="E20" s="11" t="s">
        <v>224</v>
      </c>
      <c r="F20" s="11" t="str">
        <f>'IP Input Sheet'!D26</f>
        <v>10.3.111.153</v>
      </c>
      <c r="G20" s="11" t="s">
        <v>225</v>
      </c>
      <c r="H20" s="11" t="s">
        <v>154</v>
      </c>
      <c r="I20" s="11" t="s">
        <v>226</v>
      </c>
      <c r="J20" s="12" t="s">
        <v>156</v>
      </c>
      <c r="K20" s="13" t="s">
        <v>157</v>
      </c>
      <c r="L20" s="11" t="s">
        <v>158</v>
      </c>
      <c r="M20" s="11"/>
    </row>
    <row r="21" spans="1:13" ht="18" customHeight="1" x14ac:dyDescent="0.2">
      <c r="A21" s="14" t="s">
        <v>227</v>
      </c>
      <c r="B21" s="14" t="s">
        <v>228</v>
      </c>
      <c r="C21" s="14" t="s">
        <v>15</v>
      </c>
      <c r="D21" s="14" t="str">
        <f>IFERROR(IF('IP Input Sheet'!D6&lt;&gt;"",'IP Input Sheet'!D6,IF('IP Input Sheet'!E6&lt;&gt;"",'IP Input Sheet'!E6,'IP Input Sheet'!F6)),"[Enter IP]")</f>
        <v>10.5.25.64/26</v>
      </c>
      <c r="E21" s="14" t="s">
        <v>224</v>
      </c>
      <c r="F21" s="14" t="str">
        <f>'IP Input Sheet'!D26</f>
        <v>10.3.111.153</v>
      </c>
      <c r="G21" s="14" t="s">
        <v>229</v>
      </c>
      <c r="H21" s="14" t="s">
        <v>154</v>
      </c>
      <c r="I21" s="14" t="s">
        <v>230</v>
      </c>
      <c r="J21" s="12" t="s">
        <v>156</v>
      </c>
      <c r="K21" s="13" t="s">
        <v>157</v>
      </c>
      <c r="L21" s="14" t="s">
        <v>158</v>
      </c>
      <c r="M21" s="14"/>
    </row>
    <row r="22" spans="1:13" ht="18" customHeight="1" x14ac:dyDescent="0.2">
      <c r="A22" s="11" t="s">
        <v>231</v>
      </c>
      <c r="B22" s="11" t="s">
        <v>232</v>
      </c>
      <c r="C22" s="11" t="s">
        <v>15</v>
      </c>
      <c r="D22" s="11" t="str">
        <f>IFERROR(IF('IP Input Sheet'!D6&lt;&gt;"",'IP Input Sheet'!D6,IF('IP Input Sheet'!E6&lt;&gt;"",'IP Input Sheet'!E6,'IP Input Sheet'!F6)),"[Enter IP]")</f>
        <v>10.5.25.64/26</v>
      </c>
      <c r="E22" s="11" t="s">
        <v>224</v>
      </c>
      <c r="F22" s="11" t="str">
        <f>'IP Input Sheet'!D26</f>
        <v>10.3.111.153</v>
      </c>
      <c r="G22" s="11" t="s">
        <v>233</v>
      </c>
      <c r="H22" s="11" t="s">
        <v>154</v>
      </c>
      <c r="I22" s="11" t="s">
        <v>234</v>
      </c>
      <c r="J22" s="12" t="s">
        <v>156</v>
      </c>
      <c r="K22" s="13" t="s">
        <v>157</v>
      </c>
      <c r="L22" s="11" t="s">
        <v>158</v>
      </c>
      <c r="M22" s="11"/>
    </row>
    <row r="23" spans="1:13" ht="18" customHeight="1" x14ac:dyDescent="0.2">
      <c r="A23" s="14" t="s">
        <v>235</v>
      </c>
      <c r="B23" s="14" t="s">
        <v>236</v>
      </c>
      <c r="C23" s="14" t="s">
        <v>15</v>
      </c>
      <c r="D23" s="14" t="str">
        <f>IFERROR(IF('IP Input Sheet'!D6&lt;&gt;"",'IP Input Sheet'!D6,IF('IP Input Sheet'!E6&lt;&gt;"",'IP Input Sheet'!E6,'IP Input Sheet'!F6)),"[Enter IP]")</f>
        <v>10.5.25.64/26</v>
      </c>
      <c r="E23" s="14" t="s">
        <v>237</v>
      </c>
      <c r="F23" s="14" t="str">
        <f>'IP Input Sheet'!D28</f>
        <v>10.3.111.154</v>
      </c>
      <c r="G23" s="14" t="s">
        <v>189</v>
      </c>
      <c r="H23" s="14" t="s">
        <v>154</v>
      </c>
      <c r="I23" s="14" t="s">
        <v>238</v>
      </c>
      <c r="J23" s="12" t="s">
        <v>156</v>
      </c>
      <c r="K23" s="13" t="s">
        <v>157</v>
      </c>
      <c r="L23" s="14" t="s">
        <v>158</v>
      </c>
      <c r="M23" s="14"/>
    </row>
    <row r="24" spans="1:13" ht="18" customHeight="1" x14ac:dyDescent="0.2">
      <c r="A24" s="11" t="s">
        <v>239</v>
      </c>
      <c r="B24" s="11" t="s">
        <v>240</v>
      </c>
      <c r="C24" s="11" t="s">
        <v>15</v>
      </c>
      <c r="D24" s="11" t="str">
        <f>IFERROR(IF('IP Input Sheet'!D6&lt;&gt;"",'IP Input Sheet'!D6,IF('IP Input Sheet'!E6&lt;&gt;"",'IP Input Sheet'!E6,'IP Input Sheet'!F6)),"[Enter IP]")</f>
        <v>10.5.25.64/26</v>
      </c>
      <c r="E24" s="11" t="s">
        <v>37</v>
      </c>
      <c r="F24" s="11" t="str">
        <f>IFERROR(IF('IP Input Sheet'!D13&lt;&gt;"",'IP Input Sheet'!D13,IF('IP Input Sheet'!E13&lt;&gt;"",'IP Input Sheet'!E13,'IP Input Sheet'!F13)),"[Enter IP]")</f>
        <v>10.3.118.18</v>
      </c>
      <c r="G24" s="11" t="s">
        <v>241</v>
      </c>
      <c r="H24" s="11" t="s">
        <v>154</v>
      </c>
      <c r="I24" s="11" t="s">
        <v>242</v>
      </c>
      <c r="J24" s="12" t="s">
        <v>156</v>
      </c>
      <c r="K24" s="13" t="s">
        <v>157</v>
      </c>
      <c r="L24" s="11" t="s">
        <v>158</v>
      </c>
      <c r="M24" s="11"/>
    </row>
    <row r="25" spans="1:13" ht="18" customHeight="1" x14ac:dyDescent="0.2">
      <c r="A25" s="14" t="s">
        <v>243</v>
      </c>
      <c r="B25" s="14" t="s">
        <v>244</v>
      </c>
      <c r="C25" s="14" t="s">
        <v>15</v>
      </c>
      <c r="D25" s="14" t="str">
        <f>IFERROR(IF('IP Input Sheet'!D6&lt;&gt;"",'IP Input Sheet'!D6,IF('IP Input Sheet'!E6&lt;&gt;"",'IP Input Sheet'!E6,'IP Input Sheet'!F6)),"[Enter IP]")</f>
        <v>10.5.25.64/26</v>
      </c>
      <c r="E25" s="14" t="s">
        <v>37</v>
      </c>
      <c r="F25" s="14" t="str">
        <f>IFERROR(IF('IP Input Sheet'!D13&lt;&gt;"",'IP Input Sheet'!D13,IF('IP Input Sheet'!E13&lt;&gt;"",'IP Input Sheet'!E13,'IP Input Sheet'!F13)),"[Enter IP]")</f>
        <v>10.3.118.18</v>
      </c>
      <c r="G25" s="14" t="s">
        <v>153</v>
      </c>
      <c r="H25" s="14" t="s">
        <v>154</v>
      </c>
      <c r="I25" s="14" t="s">
        <v>245</v>
      </c>
      <c r="J25" s="12" t="s">
        <v>156</v>
      </c>
      <c r="K25" s="13" t="s">
        <v>157</v>
      </c>
      <c r="L25" s="14" t="s">
        <v>158</v>
      </c>
      <c r="M25" s="14"/>
    </row>
    <row r="26" spans="1:13" ht="18" customHeight="1" x14ac:dyDescent="0.2">
      <c r="A26" s="11" t="s">
        <v>246</v>
      </c>
      <c r="B26" s="11" t="s">
        <v>247</v>
      </c>
      <c r="C26" s="11" t="s">
        <v>15</v>
      </c>
      <c r="D26" s="11" t="str">
        <f>IFERROR(IF('IP Input Sheet'!D6&lt;&gt;"",'IP Input Sheet'!D6,IF('IP Input Sheet'!E6&lt;&gt;"",'IP Input Sheet'!E6,'IP Input Sheet'!F6)),"[Enter IP]")</f>
        <v>10.5.25.64/26</v>
      </c>
      <c r="E26" s="11" t="s">
        <v>184</v>
      </c>
      <c r="F26" s="11">
        <f>IFERROR(IF('IP Input Sheet'!D20&lt;&gt;"",'IP Input Sheet'!D20,IF('IP Input Sheet'!E20&lt;&gt;"",'IP Input Sheet'!E20,'IP Input Sheet'!F20)),"[Enter IP]")</f>
        <v>0</v>
      </c>
      <c r="G26" s="11" t="s">
        <v>153</v>
      </c>
      <c r="H26" s="11" t="s">
        <v>154</v>
      </c>
      <c r="I26" s="11" t="s">
        <v>248</v>
      </c>
      <c r="J26" s="12" t="s">
        <v>156</v>
      </c>
      <c r="K26" s="13" t="s">
        <v>157</v>
      </c>
      <c r="L26" s="11" t="s">
        <v>158</v>
      </c>
      <c r="M26" s="11"/>
    </row>
    <row r="27" spans="1:13" ht="18" customHeight="1" x14ac:dyDescent="0.2">
      <c r="A27" s="14" t="s">
        <v>249</v>
      </c>
      <c r="B27" s="14" t="s">
        <v>250</v>
      </c>
      <c r="C27" s="14" t="s">
        <v>15</v>
      </c>
      <c r="D27" s="14" t="str">
        <f>IFERROR(IF('IP Input Sheet'!D6&lt;&gt;"",'IP Input Sheet'!D6,IF('IP Input Sheet'!E6&lt;&gt;"",'IP Input Sheet'!E6,'IP Input Sheet'!F6)),"[Enter IP]")</f>
        <v>10.5.25.64/26</v>
      </c>
      <c r="E27" s="14" t="s">
        <v>169</v>
      </c>
      <c r="F27" s="14" t="str">
        <f>IFERROR(IF('IP Input Sheet'!D14&lt;&gt;"",'IP Input Sheet'!D14,IF('IP Input Sheet'!E14&lt;&gt;"",'IP Input Sheet'!E14,'IP Input Sheet'!F14)),"[Enter IP]")</f>
        <v>10.3.118.0/24</v>
      </c>
      <c r="G27" s="14" t="s">
        <v>153</v>
      </c>
      <c r="H27" s="14" t="s">
        <v>154</v>
      </c>
      <c r="I27" s="14" t="s">
        <v>251</v>
      </c>
      <c r="J27" s="12" t="s">
        <v>156</v>
      </c>
      <c r="K27" s="13" t="s">
        <v>157</v>
      </c>
      <c r="L27" s="14" t="s">
        <v>158</v>
      </c>
      <c r="M27" s="14"/>
    </row>
    <row r="28" spans="1:13" ht="18" customHeight="1" x14ac:dyDescent="0.2">
      <c r="A28" s="11" t="s">
        <v>252</v>
      </c>
      <c r="B28" s="11" t="s">
        <v>253</v>
      </c>
      <c r="C28" s="11" t="s">
        <v>19</v>
      </c>
      <c r="D28" s="11" t="str">
        <f>IFERROR(IF('IP Input Sheet'!D7&lt;&gt;"",'IP Input Sheet'!D7,IF('IP Input Sheet'!E7&lt;&gt;"",'IP Input Sheet'!E7,'IP Input Sheet'!F7)),"[Enter IP]")</f>
        <v>10.5.25.64/26</v>
      </c>
      <c r="E28" s="11" t="s">
        <v>37</v>
      </c>
      <c r="F28" s="11" t="str">
        <f>IFERROR(IF('IP Input Sheet'!D13&lt;&gt;"",'IP Input Sheet'!D13,IF('IP Input Sheet'!E13&lt;&gt;"",'IP Input Sheet'!E13,'IP Input Sheet'!F13)),"[Enter IP]")</f>
        <v>10.3.118.18</v>
      </c>
      <c r="G28" s="11" t="s">
        <v>153</v>
      </c>
      <c r="H28" s="11" t="s">
        <v>154</v>
      </c>
      <c r="I28" s="11" t="s">
        <v>254</v>
      </c>
      <c r="J28" s="12" t="s">
        <v>156</v>
      </c>
      <c r="K28" s="13" t="s">
        <v>157</v>
      </c>
      <c r="L28" s="11" t="s">
        <v>163</v>
      </c>
      <c r="M28" s="11"/>
    </row>
    <row r="29" spans="1:13" ht="18" customHeight="1" x14ac:dyDescent="0.2">
      <c r="A29" s="14" t="s">
        <v>255</v>
      </c>
      <c r="B29" s="14" t="s">
        <v>256</v>
      </c>
      <c r="C29" s="14" t="s">
        <v>19</v>
      </c>
      <c r="D29" s="14" t="str">
        <f>IFERROR(IF('IP Input Sheet'!D7&lt;&gt;"",'IP Input Sheet'!D7,IF('IP Input Sheet'!E7&lt;&gt;"",'IP Input Sheet'!E7,'IP Input Sheet'!F7)),"[Enter IP]")</f>
        <v>10.5.25.64/26</v>
      </c>
      <c r="E29" s="14" t="s">
        <v>184</v>
      </c>
      <c r="F29" s="14">
        <f>IFERROR(IF('IP Input Sheet'!D20&lt;&gt;"",'IP Input Sheet'!D20,IF('IP Input Sheet'!E20&lt;&gt;"",'IP Input Sheet'!E20,'IP Input Sheet'!F20)),"[Enter IP]")</f>
        <v>0</v>
      </c>
      <c r="G29" s="14" t="s">
        <v>257</v>
      </c>
      <c r="H29" s="14" t="s">
        <v>154</v>
      </c>
      <c r="I29" s="14" t="s">
        <v>258</v>
      </c>
      <c r="J29" s="12" t="s">
        <v>156</v>
      </c>
      <c r="K29" s="13" t="s">
        <v>157</v>
      </c>
      <c r="L29" s="14" t="s">
        <v>158</v>
      </c>
      <c r="M29" s="14"/>
    </row>
    <row r="30" spans="1:13" ht="18" customHeight="1" x14ac:dyDescent="0.2">
      <c r="A30" s="11" t="s">
        <v>259</v>
      </c>
      <c r="B30" s="11" t="s">
        <v>260</v>
      </c>
      <c r="C30" s="11" t="s">
        <v>19</v>
      </c>
      <c r="D30" s="11" t="str">
        <f>IFERROR(IF('IP Input Sheet'!D7&lt;&gt;"",'IP Input Sheet'!D7,IF('IP Input Sheet'!E7&lt;&gt;"",'IP Input Sheet'!E7,'IP Input Sheet'!F7)),"[Enter IP]")</f>
        <v>10.5.25.64/26</v>
      </c>
      <c r="E30" s="11" t="s">
        <v>184</v>
      </c>
      <c r="F30" s="11">
        <f>IFERROR(IF('IP Input Sheet'!D20&lt;&gt;"",'IP Input Sheet'!D20,IF('IP Input Sheet'!E20&lt;&gt;"",'IP Input Sheet'!E20,'IP Input Sheet'!F20)),"[Enter IP]")</f>
        <v>0</v>
      </c>
      <c r="G30" s="11" t="s">
        <v>153</v>
      </c>
      <c r="H30" s="11" t="s">
        <v>154</v>
      </c>
      <c r="I30" s="11" t="s">
        <v>261</v>
      </c>
      <c r="J30" s="12" t="s">
        <v>156</v>
      </c>
      <c r="K30" s="13" t="s">
        <v>157</v>
      </c>
      <c r="L30" s="11" t="s">
        <v>163</v>
      </c>
      <c r="M30" s="11"/>
    </row>
    <row r="31" spans="1:13" ht="18" customHeight="1" x14ac:dyDescent="0.2">
      <c r="A31" s="14" t="s">
        <v>262</v>
      </c>
      <c r="B31" s="14" t="s">
        <v>263</v>
      </c>
      <c r="C31" s="14" t="s">
        <v>19</v>
      </c>
      <c r="D31" s="14" t="str">
        <f>IFERROR(IF('IP Input Sheet'!D7&lt;&gt;"",'IP Input Sheet'!D7,IF('IP Input Sheet'!E7&lt;&gt;"",'IP Input Sheet'!E7,'IP Input Sheet'!F7)),"[Enter IP]")</f>
        <v>10.5.25.64/26</v>
      </c>
      <c r="E31" s="14" t="s">
        <v>184</v>
      </c>
      <c r="F31" s="14">
        <f>IFERROR(IF('IP Input Sheet'!D20&lt;&gt;"",'IP Input Sheet'!D20,IF('IP Input Sheet'!E20&lt;&gt;"",'IP Input Sheet'!E20,'IP Input Sheet'!F20)),"[Enter IP]")</f>
        <v>0</v>
      </c>
      <c r="G31" s="14" t="s">
        <v>189</v>
      </c>
      <c r="H31" s="14" t="s">
        <v>154</v>
      </c>
      <c r="I31" s="14" t="s">
        <v>264</v>
      </c>
      <c r="J31" s="12" t="s">
        <v>156</v>
      </c>
      <c r="K31" s="13" t="s">
        <v>157</v>
      </c>
      <c r="L31" s="14" t="s">
        <v>163</v>
      </c>
      <c r="M31" s="14" t="s">
        <v>265</v>
      </c>
    </row>
    <row r="32" spans="1:13" ht="18" customHeight="1" x14ac:dyDescent="0.2">
      <c r="A32" s="11" t="s">
        <v>266</v>
      </c>
      <c r="B32" s="11" t="s">
        <v>267</v>
      </c>
      <c r="C32" s="11" t="s">
        <v>19</v>
      </c>
      <c r="D32" s="11" t="str">
        <f>IFERROR(IF('IP Input Sheet'!D7&lt;&gt;"",'IP Input Sheet'!D7,IF('IP Input Sheet'!E7&lt;&gt;"",'IP Input Sheet'!E7,'IP Input Sheet'!F7)),"[Enter IP]")</f>
        <v>10.5.25.64/26</v>
      </c>
      <c r="E32" s="11" t="s">
        <v>268</v>
      </c>
      <c r="F32" s="11" t="str">
        <f>IFERROR(IF('IP Input Sheet'!D14&lt;&gt;"",'IP Input Sheet'!D14,IF('IP Input Sheet'!E14&lt;&gt;"",'IP Input Sheet'!E14,'IP Input Sheet'!F14)),"[Enter IP]")</f>
        <v>10.3.118.0/24</v>
      </c>
      <c r="G32" s="11" t="s">
        <v>153</v>
      </c>
      <c r="H32" s="11" t="s">
        <v>154</v>
      </c>
      <c r="I32" s="11" t="s">
        <v>269</v>
      </c>
      <c r="J32" s="12" t="s">
        <v>156</v>
      </c>
      <c r="K32" s="13" t="s">
        <v>157</v>
      </c>
      <c r="L32" s="11" t="s">
        <v>163</v>
      </c>
      <c r="M32" s="11"/>
    </row>
    <row r="33" spans="1:13" ht="18" customHeight="1" x14ac:dyDescent="0.2">
      <c r="A33" s="14" t="s">
        <v>270</v>
      </c>
      <c r="B33" s="14" t="s">
        <v>271</v>
      </c>
      <c r="C33" s="14" t="s">
        <v>19</v>
      </c>
      <c r="D33" s="14" t="str">
        <f>IFERROR(IF('IP Input Sheet'!D7&lt;&gt;"",'IP Input Sheet'!D7,IF('IP Input Sheet'!E7&lt;&gt;"",'IP Input Sheet'!E7,'IP Input Sheet'!F7)),"[Enter IP]")</f>
        <v>10.5.25.64/26</v>
      </c>
      <c r="E33" s="14" t="s">
        <v>272</v>
      </c>
      <c r="F33" s="14" t="str">
        <f>IFERROR(IF('IP Input Sheet'!D21&lt;&gt;"",'IP Input Sheet'!D21,IF('IP Input Sheet'!E21&lt;&gt;"",'IP Input Sheet'!E21,'IP Input Sheet'!F21)),"[Enter IP]")</f>
        <v>10.3.111.101</v>
      </c>
      <c r="G33" s="14" t="s">
        <v>153</v>
      </c>
      <c r="H33" s="14" t="s">
        <v>154</v>
      </c>
      <c r="I33" s="14" t="s">
        <v>273</v>
      </c>
      <c r="J33" s="12" t="s">
        <v>156</v>
      </c>
      <c r="K33" s="13" t="s">
        <v>157</v>
      </c>
      <c r="L33" s="14" t="s">
        <v>158</v>
      </c>
      <c r="M33" s="14"/>
    </row>
    <row r="34" spans="1:13" ht="18" customHeight="1" x14ac:dyDescent="0.2">
      <c r="A34" s="11" t="s">
        <v>274</v>
      </c>
      <c r="B34" s="11" t="s">
        <v>275</v>
      </c>
      <c r="C34" s="11" t="s">
        <v>19</v>
      </c>
      <c r="D34" s="11" t="str">
        <f>IFERROR(IF('IP Input Sheet'!D7&lt;&gt;"",'IP Input Sheet'!D7,IF('IP Input Sheet'!E7&lt;&gt;"",'IP Input Sheet'!E7,'IP Input Sheet'!F7)),"[Enter IP]")</f>
        <v>10.5.25.64/26</v>
      </c>
      <c r="E34" s="11" t="s">
        <v>272</v>
      </c>
      <c r="F34" s="11" t="str">
        <f>IFERROR(IF('IP Input Sheet'!D21&lt;&gt;"",'IP Input Sheet'!D21,IF('IP Input Sheet'!E21&lt;&gt;"",'IP Input Sheet'!E21,'IP Input Sheet'!F21)),"[Enter IP]")</f>
        <v>10.3.111.101</v>
      </c>
      <c r="G34" s="11" t="s">
        <v>195</v>
      </c>
      <c r="H34" s="11" t="s">
        <v>154</v>
      </c>
      <c r="I34" s="11" t="s">
        <v>276</v>
      </c>
      <c r="J34" s="12" t="s">
        <v>156</v>
      </c>
      <c r="K34" s="13" t="s">
        <v>157</v>
      </c>
      <c r="L34" s="11" t="s">
        <v>158</v>
      </c>
      <c r="M34" s="11"/>
    </row>
    <row r="35" spans="1:13" ht="18" customHeight="1" x14ac:dyDescent="0.2">
      <c r="A35" s="14" t="s">
        <v>277</v>
      </c>
      <c r="B35" s="14" t="s">
        <v>278</v>
      </c>
      <c r="C35" s="14" t="s">
        <v>279</v>
      </c>
      <c r="D35" s="14" t="str">
        <f>IFERROR(IF('IP Input Sheet'!D9&lt;&gt;"",'IP Input Sheet'!D9,IF('IP Input Sheet'!E9&lt;&gt;"",'IP Input Sheet'!E9,'IP Input Sheet'!F9)),"[Enter IP]")</f>
        <v>10.5.25.64/26</v>
      </c>
      <c r="E35" s="14" t="s">
        <v>37</v>
      </c>
      <c r="F35" s="14" t="str">
        <f>IFERROR(IF('IP Input Sheet'!D13&lt;&gt;"",'IP Input Sheet'!D13,IF('IP Input Sheet'!E13&lt;&gt;"",'IP Input Sheet'!E13,'IP Input Sheet'!F13)),"[Enter IP]")</f>
        <v>10.3.118.18</v>
      </c>
      <c r="G35" s="14" t="s">
        <v>280</v>
      </c>
      <c r="H35" s="14" t="s">
        <v>154</v>
      </c>
      <c r="I35" s="14" t="s">
        <v>281</v>
      </c>
      <c r="J35" s="12" t="s">
        <v>156</v>
      </c>
      <c r="K35" s="13" t="s">
        <v>157</v>
      </c>
      <c r="L35" s="14" t="s">
        <v>158</v>
      </c>
      <c r="M35" s="14" t="s">
        <v>282</v>
      </c>
    </row>
    <row r="36" spans="1:13" ht="18" customHeight="1" x14ac:dyDescent="0.2">
      <c r="A36" s="11" t="s">
        <v>283</v>
      </c>
      <c r="B36" s="11" t="s">
        <v>284</v>
      </c>
      <c r="C36" s="11" t="s">
        <v>279</v>
      </c>
      <c r="D36" s="11" t="str">
        <f>IFERROR(IF('IP Input Sheet'!D9&lt;&gt;"",'IP Input Sheet'!D9,IF('IP Input Sheet'!E9&lt;&gt;"",'IP Input Sheet'!E9,'IP Input Sheet'!F9)),"[Enter IP]")</f>
        <v>10.5.25.64/26</v>
      </c>
      <c r="E36" s="11" t="s">
        <v>184</v>
      </c>
      <c r="F36" s="11">
        <f>IFERROR(IF('IP Input Sheet'!D20&lt;&gt;"",'IP Input Sheet'!D20,IF('IP Input Sheet'!E20&lt;&gt;"",'IP Input Sheet'!E20,'IP Input Sheet'!F20)),"[Enter IP]")</f>
        <v>0</v>
      </c>
      <c r="G36" s="11" t="s">
        <v>285</v>
      </c>
      <c r="H36" s="11" t="s">
        <v>174</v>
      </c>
      <c r="I36" s="11" t="s">
        <v>286</v>
      </c>
      <c r="J36" s="12" t="s">
        <v>156</v>
      </c>
      <c r="K36" s="13" t="s">
        <v>157</v>
      </c>
      <c r="L36" s="11" t="s">
        <v>158</v>
      </c>
      <c r="M36" s="11"/>
    </row>
    <row r="37" spans="1:13" ht="18" customHeight="1" x14ac:dyDescent="0.2">
      <c r="A37" s="14" t="s">
        <v>287</v>
      </c>
      <c r="B37" s="14" t="s">
        <v>288</v>
      </c>
      <c r="C37" s="14" t="s">
        <v>279</v>
      </c>
      <c r="D37" s="14" t="str">
        <f>IFERROR(IF('IP Input Sheet'!D9&lt;&gt;"",'IP Input Sheet'!D9,IF('IP Input Sheet'!E9&lt;&gt;"",'IP Input Sheet'!E9,'IP Input Sheet'!F9)),"[Enter IP]")</f>
        <v>10.5.25.64/26</v>
      </c>
      <c r="E37" s="14" t="s">
        <v>169</v>
      </c>
      <c r="F37" s="14" t="str">
        <f>IFERROR(IF('IP Input Sheet'!D14&lt;&gt;"",'IP Input Sheet'!D14,IF('IP Input Sheet'!E14&lt;&gt;"",'IP Input Sheet'!E14,'IP Input Sheet'!F14)),"[Enter IP]")</f>
        <v>10.3.118.0/24</v>
      </c>
      <c r="G37" s="14" t="s">
        <v>153</v>
      </c>
      <c r="H37" s="14" t="s">
        <v>154</v>
      </c>
      <c r="I37" s="14" t="s">
        <v>289</v>
      </c>
      <c r="J37" s="12" t="s">
        <v>156</v>
      </c>
      <c r="K37" s="13" t="s">
        <v>157</v>
      </c>
      <c r="L37" s="14" t="s">
        <v>158</v>
      </c>
      <c r="M37" s="14"/>
    </row>
    <row r="38" spans="1:13" ht="18" customHeight="1" x14ac:dyDescent="0.2">
      <c r="A38" s="11" t="s">
        <v>290</v>
      </c>
      <c r="B38" s="11" t="s">
        <v>291</v>
      </c>
      <c r="C38" s="11" t="s">
        <v>279</v>
      </c>
      <c r="D38" s="11" t="str">
        <f>IFERROR(IF('IP Input Sheet'!D9&lt;&gt;"",'IP Input Sheet'!D9,IF('IP Input Sheet'!E9&lt;&gt;"",'IP Input Sheet'!E9,'IP Input Sheet'!F9)),"[Enter IP]")</f>
        <v>10.5.25.64/26</v>
      </c>
      <c r="E38" s="11" t="s">
        <v>116</v>
      </c>
      <c r="F38" s="11" t="str">
        <f>'IP Input Sheet'!D24</f>
        <v>10.3.111.122</v>
      </c>
      <c r="G38" s="11" t="s">
        <v>173</v>
      </c>
      <c r="H38" s="11" t="s">
        <v>154</v>
      </c>
      <c r="I38" s="11" t="s">
        <v>292</v>
      </c>
      <c r="J38" s="12" t="s">
        <v>156</v>
      </c>
      <c r="K38" s="13" t="s">
        <v>157</v>
      </c>
      <c r="L38" s="11" t="s">
        <v>158</v>
      </c>
      <c r="M38" s="11"/>
    </row>
    <row r="39" spans="1:13" ht="18" customHeight="1" x14ac:dyDescent="0.2">
      <c r="A39" s="14" t="s">
        <v>293</v>
      </c>
      <c r="B39" s="14" t="s">
        <v>294</v>
      </c>
      <c r="C39" s="14" t="s">
        <v>279</v>
      </c>
      <c r="D39" s="14" t="str">
        <f>IFERROR(IF('IP Input Sheet'!D9&lt;&gt;"",'IP Input Sheet'!D9,IF('IP Input Sheet'!E9&lt;&gt;"",'IP Input Sheet'!E9,'IP Input Sheet'!F9)),"[Enter IP]")</f>
        <v>10.5.25.64/26</v>
      </c>
      <c r="E39" s="14" t="s">
        <v>120</v>
      </c>
      <c r="F39" s="14" t="str">
        <f>'IP Input Sheet'!D25</f>
        <v>10.3.111.133</v>
      </c>
      <c r="G39" s="14" t="s">
        <v>179</v>
      </c>
      <c r="H39" s="14" t="s">
        <v>180</v>
      </c>
      <c r="I39" s="14" t="s">
        <v>295</v>
      </c>
      <c r="J39" s="12" t="s">
        <v>156</v>
      </c>
      <c r="K39" s="13" t="s">
        <v>157</v>
      </c>
      <c r="L39" s="14" t="s">
        <v>158</v>
      </c>
      <c r="M39" s="14"/>
    </row>
    <row r="40" spans="1:13" ht="18" customHeight="1" x14ac:dyDescent="0.2">
      <c r="A40" s="11" t="s">
        <v>296</v>
      </c>
      <c r="B40" s="11" t="s">
        <v>297</v>
      </c>
      <c r="C40" s="11" t="s">
        <v>279</v>
      </c>
      <c r="D40" s="11" t="str">
        <f>IFERROR(IF('IP Input Sheet'!D9&lt;&gt;"",'IP Input Sheet'!D9,IF('IP Input Sheet'!E9&lt;&gt;"",'IP Input Sheet'!E9,'IP Input Sheet'!F9)),"[Enter IP]")</f>
        <v>10.5.25.64/26</v>
      </c>
      <c r="E40" s="11" t="s">
        <v>298</v>
      </c>
      <c r="F40" s="11" t="s">
        <v>299</v>
      </c>
      <c r="G40" s="11" t="s">
        <v>300</v>
      </c>
      <c r="H40" s="11" t="s">
        <v>154</v>
      </c>
      <c r="I40" s="11" t="s">
        <v>301</v>
      </c>
      <c r="J40" s="12" t="s">
        <v>156</v>
      </c>
      <c r="K40" s="13" t="s">
        <v>157</v>
      </c>
      <c r="L40" s="11" t="s">
        <v>158</v>
      </c>
      <c r="M40" s="11" t="s">
        <v>302</v>
      </c>
    </row>
    <row r="41" spans="1:13" ht="18" customHeight="1" x14ac:dyDescent="0.2">
      <c r="A41" s="14" t="s">
        <v>303</v>
      </c>
      <c r="B41" s="14" t="s">
        <v>304</v>
      </c>
      <c r="C41" s="14" t="s">
        <v>279</v>
      </c>
      <c r="D41" s="14" t="str">
        <f>IFERROR(IF('IP Input Sheet'!D9&lt;&gt;"",'IP Input Sheet'!D9,IF('IP Input Sheet'!E9&lt;&gt;"",'IP Input Sheet'!E9,'IP Input Sheet'!F9)),"[Enter IP]")</f>
        <v>10.5.25.64/26</v>
      </c>
      <c r="E41" s="14" t="s">
        <v>305</v>
      </c>
      <c r="F41" s="14" t="str">
        <f>IFERROR(IF('IP Input Sheet'!D19&lt;&gt;"",'IP Input Sheet'!D19,IF('IP Input Sheet'!E19&lt;&gt;"",'IP Input Sheet'!E19,'IP Input Sheet'!F19)),"[Enter IP]")</f>
        <v>10.3.118.101</v>
      </c>
      <c r="G41" s="14" t="s">
        <v>153</v>
      </c>
      <c r="H41" s="14" t="s">
        <v>154</v>
      </c>
      <c r="I41" s="14" t="s">
        <v>306</v>
      </c>
      <c r="J41" s="12" t="s">
        <v>156</v>
      </c>
      <c r="K41" s="13" t="s">
        <v>157</v>
      </c>
      <c r="L41" s="14" t="s">
        <v>158</v>
      </c>
      <c r="M41" s="14" t="s">
        <v>307</v>
      </c>
    </row>
    <row r="42" spans="1:13" ht="18" customHeight="1" x14ac:dyDescent="0.2">
      <c r="A42" s="11" t="s">
        <v>308</v>
      </c>
      <c r="B42" s="11" t="s">
        <v>309</v>
      </c>
      <c r="C42" s="11" t="s">
        <v>279</v>
      </c>
      <c r="D42" s="11" t="str">
        <f>IFERROR(IF('IP Input Sheet'!D9&lt;&gt;"",'IP Input Sheet'!D9,IF('IP Input Sheet'!E9&lt;&gt;"",'IP Input Sheet'!E9,'IP Input Sheet'!F9)),"[Enter IP]")</f>
        <v>10.5.25.64/26</v>
      </c>
      <c r="E42" s="11" t="s">
        <v>305</v>
      </c>
      <c r="F42" s="11" t="str">
        <f>IFERROR(IF('IP Input Sheet'!D19&lt;&gt;"",'IP Input Sheet'!D19,IF('IP Input Sheet'!E19&lt;&gt;"",'IP Input Sheet'!E19,'IP Input Sheet'!F19)),"[Enter IP]")</f>
        <v>10.3.118.101</v>
      </c>
      <c r="G42" s="11" t="s">
        <v>189</v>
      </c>
      <c r="H42" s="11" t="s">
        <v>154</v>
      </c>
      <c r="I42" s="11" t="s">
        <v>310</v>
      </c>
      <c r="J42" s="12" t="s">
        <v>156</v>
      </c>
      <c r="K42" s="13" t="s">
        <v>157</v>
      </c>
      <c r="L42" s="11" t="s">
        <v>158</v>
      </c>
      <c r="M42" s="11" t="s">
        <v>311</v>
      </c>
    </row>
    <row r="43" spans="1:13" ht="18" customHeight="1" x14ac:dyDescent="0.2">
      <c r="A43" s="14" t="s">
        <v>312</v>
      </c>
      <c r="B43" s="14" t="s">
        <v>313</v>
      </c>
      <c r="C43" s="14" t="s">
        <v>15</v>
      </c>
      <c r="D43" s="14" t="str">
        <f>IFERROR(IF('IP Input Sheet'!D6&lt;&gt;"",'IP Input Sheet'!D6,IF('IP Input Sheet'!E6&lt;&gt;"",'IP Input Sheet'!E6,'IP Input Sheet'!F6)),"[Enter IP]")</f>
        <v>10.5.25.64/26</v>
      </c>
      <c r="E43" s="14" t="s">
        <v>305</v>
      </c>
      <c r="F43" s="14" t="str">
        <f>IFERROR(IF('IP Input Sheet'!D19&lt;&gt;"",'IP Input Sheet'!D19,IF('IP Input Sheet'!E19&lt;&gt;"",'IP Input Sheet'!E19,'IP Input Sheet'!F19)),"[Enter IP]")</f>
        <v>10.3.118.101</v>
      </c>
      <c r="G43" s="14" t="s">
        <v>153</v>
      </c>
      <c r="H43" s="14" t="s">
        <v>154</v>
      </c>
      <c r="I43" s="14" t="s">
        <v>314</v>
      </c>
      <c r="J43" s="12" t="s">
        <v>156</v>
      </c>
      <c r="K43" s="13" t="s">
        <v>157</v>
      </c>
      <c r="L43" s="14" t="s">
        <v>158</v>
      </c>
      <c r="M43" s="14" t="s">
        <v>315</v>
      </c>
    </row>
    <row r="44" spans="1:13" ht="18" customHeight="1" x14ac:dyDescent="0.2">
      <c r="A44" s="15" t="s">
        <v>316</v>
      </c>
      <c r="B44" s="15" t="s">
        <v>317</v>
      </c>
      <c r="C44" s="15" t="s">
        <v>318</v>
      </c>
      <c r="D44" s="15" t="str">
        <f>IFERROR(IF('IP Input Sheet'!D21&lt;&gt;"",'IP Input Sheet'!D21,IF('IP Input Sheet'!E21&lt;&gt;"",'IP Input Sheet'!E21,'IP Input Sheet'!F21)),"[Enter IP]")</f>
        <v>10.3.111.101</v>
      </c>
      <c r="E44" s="15" t="s">
        <v>319</v>
      </c>
      <c r="F44" s="15">
        <f>IFERROR(IF('IP Input Sheet'!D31&lt;&gt;"",'IP Input Sheet'!D31,IF('IP Input Sheet'!E31&lt;&gt;"",'IP Input Sheet'!E31,'IP Input Sheet'!F31)),"[Enter IP]")</f>
        <v>0</v>
      </c>
      <c r="G44" s="15" t="s">
        <v>320</v>
      </c>
      <c r="H44" s="15" t="s">
        <v>154</v>
      </c>
      <c r="I44" s="15" t="s">
        <v>321</v>
      </c>
      <c r="J44" s="12" t="s">
        <v>156</v>
      </c>
      <c r="K44" s="16" t="s">
        <v>157</v>
      </c>
      <c r="L44" s="15" t="s">
        <v>163</v>
      </c>
      <c r="M44" s="15" t="s">
        <v>322</v>
      </c>
    </row>
    <row r="45" spans="1:13" ht="18" customHeight="1" x14ac:dyDescent="0.2">
      <c r="A45" s="17" t="s">
        <v>323</v>
      </c>
      <c r="B45" s="17" t="s">
        <v>324</v>
      </c>
      <c r="C45" s="17" t="s">
        <v>325</v>
      </c>
      <c r="D45" s="17" t="str">
        <f>IFERROR(IF('IP Input Sheet'!D22&lt;&gt;"",'IP Input Sheet'!D22,IF('IP Input Sheet'!#REF!&lt;&gt;"",'IP Input Sheet'!#REF!,'IP Input Sheet'!F22)),"[Enter IP]")</f>
        <v>10.3.111.121</v>
      </c>
      <c r="E45" s="17" t="s">
        <v>319</v>
      </c>
      <c r="F45" s="17">
        <f>IFERROR(IF('IP Input Sheet'!D31&lt;&gt;"",'IP Input Sheet'!D31,IF('IP Input Sheet'!E31&lt;&gt;"",'IP Input Sheet'!E31,'IP Input Sheet'!F31)),"[Enter IP]")</f>
        <v>0</v>
      </c>
      <c r="G45" s="17" t="s">
        <v>320</v>
      </c>
      <c r="H45" s="17" t="s">
        <v>154</v>
      </c>
      <c r="I45" s="17" t="s">
        <v>326</v>
      </c>
      <c r="J45" s="12" t="s">
        <v>156</v>
      </c>
      <c r="K45" s="16" t="s">
        <v>157</v>
      </c>
      <c r="L45" s="17" t="s">
        <v>163</v>
      </c>
      <c r="M45" s="17" t="s">
        <v>327</v>
      </c>
    </row>
    <row r="46" spans="1:13" ht="18" customHeight="1" x14ac:dyDescent="0.2">
      <c r="A46" s="15" t="s">
        <v>328</v>
      </c>
      <c r="B46" s="15" t="s">
        <v>329</v>
      </c>
      <c r="C46" s="15" t="s">
        <v>330</v>
      </c>
      <c r="D46" s="15" t="str">
        <f>IFERROR(IF('IP Input Sheet'!D23&lt;&gt;"",'IP Input Sheet'!D23,IF('IP Input Sheet'!E22&lt;&gt;"",'IP Input Sheet'!E22,'IP Input Sheet'!F23)),"[Enter IP]")</f>
        <v>10.3.111.102</v>
      </c>
      <c r="E46" s="15" t="s">
        <v>319</v>
      </c>
      <c r="F46" s="15">
        <f>IFERROR(IF('IP Input Sheet'!D31&lt;&gt;"",'IP Input Sheet'!D31,IF('IP Input Sheet'!E31&lt;&gt;"",'IP Input Sheet'!E31,'IP Input Sheet'!F31)),"[Enter IP]")</f>
        <v>0</v>
      </c>
      <c r="G46" s="15" t="s">
        <v>320</v>
      </c>
      <c r="H46" s="15" t="s">
        <v>154</v>
      </c>
      <c r="I46" s="15" t="s">
        <v>331</v>
      </c>
      <c r="J46" s="12" t="s">
        <v>156</v>
      </c>
      <c r="K46" s="16" t="s">
        <v>157</v>
      </c>
      <c r="L46" s="15" t="s">
        <v>163</v>
      </c>
      <c r="M46" s="15" t="s">
        <v>332</v>
      </c>
    </row>
    <row r="47" spans="1:13" ht="18" customHeight="1" x14ac:dyDescent="0.2">
      <c r="A47" s="17" t="s">
        <v>333</v>
      </c>
      <c r="B47" s="17" t="s">
        <v>334</v>
      </c>
      <c r="C47" s="17" t="s">
        <v>335</v>
      </c>
      <c r="D47" s="17" t="str">
        <f>IFERROR(IF('IP Input Sheet'!D24&lt;&gt;"",'IP Input Sheet'!D24,IF('IP Input Sheet'!E24&lt;&gt;"",'IP Input Sheet'!E24,'IP Input Sheet'!F24)),"[Enter IP]")</f>
        <v>10.3.111.122</v>
      </c>
      <c r="E47" s="17" t="s">
        <v>319</v>
      </c>
      <c r="F47" s="17">
        <f>IFERROR(IF('IP Input Sheet'!D31&lt;&gt;"",'IP Input Sheet'!D31,IF('IP Input Sheet'!E31&lt;&gt;"",'IP Input Sheet'!E31,'IP Input Sheet'!F31)),"[Enter IP]")</f>
        <v>0</v>
      </c>
      <c r="G47" s="17" t="s">
        <v>320</v>
      </c>
      <c r="H47" s="17" t="s">
        <v>154</v>
      </c>
      <c r="I47" s="17" t="s">
        <v>336</v>
      </c>
      <c r="J47" s="12" t="s">
        <v>156</v>
      </c>
      <c r="K47" s="16" t="s">
        <v>157</v>
      </c>
      <c r="L47" s="17" t="s">
        <v>163</v>
      </c>
      <c r="M47" s="17" t="s">
        <v>337</v>
      </c>
    </row>
    <row r="48" spans="1:13" ht="18" customHeight="1" x14ac:dyDescent="0.2">
      <c r="A48" s="15" t="s">
        <v>338</v>
      </c>
      <c r="B48" s="15" t="s">
        <v>339</v>
      </c>
      <c r="C48" s="15" t="s">
        <v>340</v>
      </c>
      <c r="D48" s="15" t="str">
        <f>IFERROR(IF('IP Input Sheet'!D25&lt;&gt;"",'IP Input Sheet'!D25,IF('IP Input Sheet'!E25&lt;&gt;"",'IP Input Sheet'!E25,'IP Input Sheet'!F25)),"[Enter IP]")</f>
        <v>10.3.111.133</v>
      </c>
      <c r="E48" s="15" t="s">
        <v>341</v>
      </c>
      <c r="F48" s="15">
        <f>IFERROR(IF('IP Input Sheet'!D31&lt;&gt;"",'IP Input Sheet'!D31,IF('IP Input Sheet'!E31&lt;&gt;"",'IP Input Sheet'!E31,'IP Input Sheet'!F31)),"[Enter IP]")</f>
        <v>0</v>
      </c>
      <c r="G48" s="15" t="s">
        <v>320</v>
      </c>
      <c r="H48" s="15" t="s">
        <v>154</v>
      </c>
      <c r="I48" s="15" t="s">
        <v>342</v>
      </c>
      <c r="J48" s="12" t="s">
        <v>156</v>
      </c>
      <c r="K48" s="16" t="s">
        <v>157</v>
      </c>
      <c r="L48" s="15" t="s">
        <v>163</v>
      </c>
      <c r="M48" s="15" t="s">
        <v>343</v>
      </c>
    </row>
    <row r="49" spans="1:13" ht="18" customHeight="1" x14ac:dyDescent="0.2">
      <c r="A49" s="17" t="s">
        <v>344</v>
      </c>
      <c r="B49" s="17" t="s">
        <v>345</v>
      </c>
      <c r="C49" s="17" t="s">
        <v>346</v>
      </c>
      <c r="D49" s="17" t="str">
        <f>IFERROR(IF('IP Input Sheet'!D26&lt;&gt;"",'IP Input Sheet'!D26,IF('IP Input Sheet'!E26&lt;&gt;"",'IP Input Sheet'!E26,'IP Input Sheet'!F26)),"[Enter IP]")</f>
        <v>10.3.111.153</v>
      </c>
      <c r="E49" s="17" t="s">
        <v>341</v>
      </c>
      <c r="F49" s="17">
        <f>IFERROR(IF('IP Input Sheet'!D31&lt;&gt;"",'IP Input Sheet'!D31,IF('IP Input Sheet'!E31&lt;&gt;"",'IP Input Sheet'!E31,'IP Input Sheet'!F31)),"[Enter IP]")</f>
        <v>0</v>
      </c>
      <c r="G49" s="17" t="s">
        <v>320</v>
      </c>
      <c r="H49" s="17" t="s">
        <v>154</v>
      </c>
      <c r="I49" s="17" t="s">
        <v>347</v>
      </c>
      <c r="J49" s="12" t="s">
        <v>156</v>
      </c>
      <c r="K49" s="16" t="s">
        <v>157</v>
      </c>
      <c r="L49" s="17" t="s">
        <v>163</v>
      </c>
      <c r="M49" s="17" t="s">
        <v>348</v>
      </c>
    </row>
    <row r="50" spans="1:13" ht="18" customHeight="1" x14ac:dyDescent="0.2">
      <c r="A50" s="15" t="s">
        <v>349</v>
      </c>
      <c r="B50" s="15" t="s">
        <v>350</v>
      </c>
      <c r="C50" s="15" t="s">
        <v>351</v>
      </c>
      <c r="D50" s="15" t="str">
        <f>IFERROR(IF('IP Input Sheet'!D27&lt;&gt;"",'IP Input Sheet'!D27,IF('IP Input Sheet'!E27&lt;&gt;"",'IP Input Sheet'!E27,'IP Input Sheet'!F27)),"[Enter IP]")</f>
        <v>10.3.111.134</v>
      </c>
      <c r="E50" s="15" t="s">
        <v>341</v>
      </c>
      <c r="F50" s="15">
        <f>IFERROR(IF('IP Input Sheet'!D31&lt;&gt;"",'IP Input Sheet'!D31,IF('IP Input Sheet'!E31&lt;&gt;"",'IP Input Sheet'!E31,'IP Input Sheet'!F31)),"[Enter IP]")</f>
        <v>0</v>
      </c>
      <c r="G50" s="15" t="s">
        <v>320</v>
      </c>
      <c r="H50" s="15" t="s">
        <v>154</v>
      </c>
      <c r="I50" s="15" t="s">
        <v>352</v>
      </c>
      <c r="J50" s="12" t="s">
        <v>156</v>
      </c>
      <c r="K50" s="16" t="s">
        <v>157</v>
      </c>
      <c r="L50" s="15" t="s">
        <v>163</v>
      </c>
      <c r="M50" s="15" t="s">
        <v>353</v>
      </c>
    </row>
    <row r="51" spans="1:13" ht="18" customHeight="1" x14ac:dyDescent="0.2">
      <c r="A51" s="17" t="s">
        <v>354</v>
      </c>
      <c r="B51" s="17" t="s">
        <v>355</v>
      </c>
      <c r="C51" s="17" t="s">
        <v>356</v>
      </c>
      <c r="D51" s="17" t="str">
        <f>IFERROR(IF('IP Input Sheet'!D28&lt;&gt;"",'IP Input Sheet'!D28,IF('IP Input Sheet'!E28&lt;&gt;"",'IP Input Sheet'!E28,'IP Input Sheet'!F28)),"[Enter IP]")</f>
        <v>10.3.111.154</v>
      </c>
      <c r="E51" s="17" t="s">
        <v>341</v>
      </c>
      <c r="F51" s="17">
        <f>IFERROR(IF('IP Input Sheet'!D31&lt;&gt;"",'IP Input Sheet'!D31,IF('IP Input Sheet'!E31&lt;&gt;"",'IP Input Sheet'!E31,'IP Input Sheet'!F31)),"[Enter IP]")</f>
        <v>0</v>
      </c>
      <c r="G51" s="17" t="s">
        <v>320</v>
      </c>
      <c r="H51" s="17" t="s">
        <v>154</v>
      </c>
      <c r="I51" s="17" t="s">
        <v>357</v>
      </c>
      <c r="J51" s="12" t="s">
        <v>156</v>
      </c>
      <c r="K51" s="16" t="s">
        <v>157</v>
      </c>
      <c r="L51" s="17" t="s">
        <v>163</v>
      </c>
      <c r="M51" s="17" t="s">
        <v>358</v>
      </c>
    </row>
    <row r="52" spans="1:13" ht="18" customHeight="1" x14ac:dyDescent="0.2">
      <c r="A52" s="15" t="s">
        <v>359</v>
      </c>
      <c r="B52" s="15" t="s">
        <v>360</v>
      </c>
      <c r="C52" s="15" t="s">
        <v>361</v>
      </c>
      <c r="D52" s="15" t="str">
        <f>IFERROR(IF('IP Input Sheet'!D29&lt;&gt;"",'IP Input Sheet'!D29,IF('IP Input Sheet'!E29&lt;&gt;"",'IP Input Sheet'!E29,'IP Input Sheet'!F29)),"[Enter IP]")</f>
        <v>10.5.236.0/24</v>
      </c>
      <c r="E52" s="15" t="s">
        <v>362</v>
      </c>
      <c r="F52" s="15" t="str">
        <f>IFERROR(IF('IP Input Sheet'!D18&lt;&gt;"",'IP Input Sheet'!D18,IF('IP Input Sheet'!E18&lt;&gt;"",'IP Input Sheet'!E18,'IP Input Sheet'!F18)),"[Enter IP]")</f>
        <v>10.3.118.0/24</v>
      </c>
      <c r="G52" s="15" t="s">
        <v>363</v>
      </c>
      <c r="H52" s="15" t="s">
        <v>180</v>
      </c>
      <c r="I52" s="15" t="s">
        <v>364</v>
      </c>
      <c r="J52" s="12" t="s">
        <v>156</v>
      </c>
      <c r="K52" s="16" t="s">
        <v>157</v>
      </c>
      <c r="L52" s="15" t="s">
        <v>163</v>
      </c>
      <c r="M52" s="15" t="s">
        <v>365</v>
      </c>
    </row>
    <row r="53" spans="1:13" ht="18" customHeight="1" x14ac:dyDescent="0.2">
      <c r="A53" s="17" t="s">
        <v>366</v>
      </c>
      <c r="B53" s="17" t="s">
        <v>367</v>
      </c>
      <c r="C53" s="17" t="s">
        <v>368</v>
      </c>
      <c r="D53" s="17" t="str">
        <f>IFERROR(IF('IP Input Sheet'!D29&lt;&gt;"",'IP Input Sheet'!D29,IF('IP Input Sheet'!E29&lt;&gt;"",'IP Input Sheet'!E29,'IP Input Sheet'!F29)),"[Enter IP]")</f>
        <v>10.5.236.0/24</v>
      </c>
      <c r="E53" s="17" t="s">
        <v>369</v>
      </c>
      <c r="F53" s="17" t="str">
        <f>IFERROR(IF('IP Input Sheet'!D29&lt;&gt;"",'IP Input Sheet'!D29,IF('IP Input Sheet'!E29&lt;&gt;"",'IP Input Sheet'!E29,'IP Input Sheet'!F29)),"[Enter IP]")</f>
        <v>10.5.236.0/24</v>
      </c>
      <c r="G53" s="17" t="s">
        <v>363</v>
      </c>
      <c r="H53" s="17" t="s">
        <v>180</v>
      </c>
      <c r="I53" s="17" t="s">
        <v>370</v>
      </c>
      <c r="J53" s="12" t="s">
        <v>156</v>
      </c>
      <c r="K53" s="16" t="s">
        <v>157</v>
      </c>
      <c r="L53" s="17" t="s">
        <v>163</v>
      </c>
      <c r="M53" s="17" t="s">
        <v>371</v>
      </c>
    </row>
    <row r="54" spans="1:13" ht="18" customHeight="1" x14ac:dyDescent="0.2">
      <c r="A54" s="15" t="s">
        <v>372</v>
      </c>
      <c r="B54" s="15" t="s">
        <v>373</v>
      </c>
      <c r="C54" s="15" t="s">
        <v>374</v>
      </c>
      <c r="D54" s="15" t="str">
        <f>IFERROR(IF('IP Input Sheet'!D30&lt;&gt;"",'IP Input Sheet'!D30,IF('IP Input Sheet'!E30&lt;&gt;"",'IP Input Sheet'!E30,'IP Input Sheet'!F30)),"[Enter IP]")</f>
        <v>10.5.22.0/24</v>
      </c>
      <c r="E54" s="15" t="s">
        <v>375</v>
      </c>
      <c r="F54" s="15" t="str">
        <f>IFERROR(IF('IP Input Sheet'!D30&lt;&gt;"",'IP Input Sheet'!D30,IF('IP Input Sheet'!E30&lt;&gt;"",'IP Input Sheet'!E30,'IP Input Sheet'!F30)),"[Enter IP]")</f>
        <v>10.5.22.0/24</v>
      </c>
      <c r="G54" s="15" t="s">
        <v>363</v>
      </c>
      <c r="H54" s="15" t="s">
        <v>180</v>
      </c>
      <c r="I54" s="15" t="s">
        <v>376</v>
      </c>
      <c r="J54" s="12" t="s">
        <v>156</v>
      </c>
      <c r="K54" s="16" t="s">
        <v>157</v>
      </c>
      <c r="L54" s="15" t="s">
        <v>163</v>
      </c>
      <c r="M54" s="15" t="s">
        <v>377</v>
      </c>
    </row>
    <row r="55" spans="1:13" ht="18" customHeight="1" x14ac:dyDescent="0.2">
      <c r="A55" s="17" t="s">
        <v>378</v>
      </c>
      <c r="B55" s="17" t="s">
        <v>379</v>
      </c>
      <c r="C55" s="17" t="s">
        <v>380</v>
      </c>
      <c r="D55" s="17" t="str">
        <f>IFERROR(IF('IP Input Sheet'!D21&lt;&gt;"",'IP Input Sheet'!D21,IF('IP Input Sheet'!E21&lt;&gt;"",'IP Input Sheet'!E21,'IP Input Sheet'!F21)),"[Enter IP]")</f>
        <v>10.3.111.101</v>
      </c>
      <c r="E55" s="17" t="s">
        <v>381</v>
      </c>
      <c r="F55" s="17">
        <f>IFERROR(IF('IP Input Sheet'!D31&lt;&gt;"",'IP Input Sheet'!D31,IF('IP Input Sheet'!E31&lt;&gt;"",'IP Input Sheet'!E31,'IP Input Sheet'!F31)),"[Enter IP]")</f>
        <v>0</v>
      </c>
      <c r="G55" s="17" t="s">
        <v>382</v>
      </c>
      <c r="H55" s="17" t="s">
        <v>180</v>
      </c>
      <c r="I55" s="17" t="s">
        <v>383</v>
      </c>
      <c r="J55" s="12" t="s">
        <v>156</v>
      </c>
      <c r="K55" s="16" t="s">
        <v>157</v>
      </c>
      <c r="L55" s="17" t="s">
        <v>163</v>
      </c>
      <c r="M55" s="17" t="s">
        <v>384</v>
      </c>
    </row>
    <row r="56" spans="1:13" ht="15.75" customHeight="1" x14ac:dyDescent="0.2"/>
    <row r="57" spans="1:13" ht="15.75" customHeight="1" x14ac:dyDescent="0.2"/>
    <row r="58" spans="1:13" ht="15.75" customHeight="1" x14ac:dyDescent="0.2"/>
    <row r="59" spans="1:13" ht="15.75" customHeight="1" x14ac:dyDescent="0.2"/>
    <row r="60" spans="1:13" ht="15.75" customHeight="1" x14ac:dyDescent="0.2"/>
    <row r="61" spans="1:13" ht="15.75" customHeight="1" x14ac:dyDescent="0.2"/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M1"/>
    <mergeCell ref="A2:M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0C0"/>
  </sheetPr>
  <dimension ref="A1:M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7" customWidth="1"/>
    <col min="2" max="2" width="32" customWidth="1"/>
    <col min="3" max="3" width="28" customWidth="1"/>
    <col min="4" max="4" width="24" customWidth="1"/>
    <col min="5" max="5" width="28" customWidth="1"/>
    <col min="6" max="6" width="24" customWidth="1"/>
    <col min="7" max="7" width="12" customWidth="1"/>
    <col min="8" max="8" width="10" customWidth="1"/>
    <col min="9" max="9" width="34" customWidth="1"/>
    <col min="10" max="10" width="8" customWidth="1"/>
    <col min="11" max="12" width="14" customWidth="1"/>
    <col min="13" max="13" width="38" customWidth="1"/>
  </cols>
  <sheetData>
    <row r="1" spans="1:13" ht="27.75" customHeight="1" x14ac:dyDescent="0.2">
      <c r="A1" s="32" t="s">
        <v>385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18" customHeight="1" x14ac:dyDescent="0.2">
      <c r="A2" s="27" t="s">
        <v>138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3" ht="27.75" customHeight="1" x14ac:dyDescent="0.2">
      <c r="A3" s="1" t="s">
        <v>2</v>
      </c>
      <c r="B3" s="1" t="s">
        <v>139</v>
      </c>
      <c r="C3" s="1" t="s">
        <v>140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145</v>
      </c>
      <c r="I3" s="1" t="s">
        <v>146</v>
      </c>
      <c r="J3" s="1" t="s">
        <v>147</v>
      </c>
      <c r="K3" s="1" t="s">
        <v>148</v>
      </c>
      <c r="L3" s="1" t="s">
        <v>149</v>
      </c>
      <c r="M3" s="1" t="s">
        <v>150</v>
      </c>
    </row>
    <row r="4" spans="1:13" ht="18" customHeight="1" x14ac:dyDescent="0.2">
      <c r="A4" s="11" t="s">
        <v>386</v>
      </c>
      <c r="B4" s="11" t="s">
        <v>387</v>
      </c>
      <c r="C4" s="11" t="s">
        <v>37</v>
      </c>
      <c r="D4" s="11" t="str">
        <f>IFERROR(IF('IP Input Sheet'!D13&lt;&gt;"",'IP Input Sheet'!D13,IF('IP Input Sheet'!E13&lt;&gt;"",'IP Input Sheet'!E13,'IP Input Sheet'!F13)),"[Enter IP]")</f>
        <v>10.3.118.18</v>
      </c>
      <c r="E4" s="11" t="s">
        <v>388</v>
      </c>
      <c r="F4" s="11" t="str">
        <f>IFERROR(IF('IP Input Sheet'!D5&lt;&gt;"",'IP Input Sheet'!D5,IF('IP Input Sheet'!E5&lt;&gt;"",'IP Input Sheet'!E5,'IP Input Sheet'!F5)),"[Enter IP]")</f>
        <v>10.3.118.28</v>
      </c>
      <c r="G4" s="11" t="s">
        <v>153</v>
      </c>
      <c r="H4" s="11" t="s">
        <v>154</v>
      </c>
      <c r="I4" s="11" t="s">
        <v>389</v>
      </c>
      <c r="J4" s="12" t="s">
        <v>156</v>
      </c>
      <c r="K4" s="13" t="s">
        <v>157</v>
      </c>
      <c r="L4" s="11" t="s">
        <v>158</v>
      </c>
      <c r="M4" s="11" t="s">
        <v>390</v>
      </c>
    </row>
    <row r="5" spans="1:13" ht="18" customHeight="1" x14ac:dyDescent="0.2">
      <c r="A5" s="14" t="s">
        <v>391</v>
      </c>
      <c r="B5" s="14" t="s">
        <v>392</v>
      </c>
      <c r="C5" s="14" t="s">
        <v>37</v>
      </c>
      <c r="D5" s="14" t="str">
        <f>IFERROR(IF('IP Input Sheet'!D13&lt;&gt;"",'IP Input Sheet'!D13,IF('IP Input Sheet'!E13&lt;&gt;"",'IP Input Sheet'!E13,'IP Input Sheet'!F13)),"[Enter IP]")</f>
        <v>10.3.118.18</v>
      </c>
      <c r="E5" s="14" t="s">
        <v>15</v>
      </c>
      <c r="F5" s="14" t="str">
        <f>IFERROR(IF('IP Input Sheet'!D6&lt;&gt;"",'IP Input Sheet'!D6,IF('IP Input Sheet'!E6&lt;&gt;"",'IP Input Sheet'!E6,'IP Input Sheet'!F6)),"[Enter IP]")</f>
        <v>10.5.25.64/26</v>
      </c>
      <c r="G5" s="14" t="s">
        <v>153</v>
      </c>
      <c r="H5" s="14" t="s">
        <v>154</v>
      </c>
      <c r="I5" s="14" t="s">
        <v>393</v>
      </c>
      <c r="J5" s="12" t="s">
        <v>156</v>
      </c>
      <c r="K5" s="13" t="s">
        <v>157</v>
      </c>
      <c r="L5" s="14" t="s">
        <v>163</v>
      </c>
      <c r="M5" s="14"/>
    </row>
    <row r="6" spans="1:13" ht="18" customHeight="1" x14ac:dyDescent="0.2">
      <c r="A6" s="11" t="s">
        <v>394</v>
      </c>
      <c r="B6" s="11" t="s">
        <v>395</v>
      </c>
      <c r="C6" s="11" t="s">
        <v>37</v>
      </c>
      <c r="D6" s="11" t="str">
        <f>IFERROR(IF('IP Input Sheet'!D13&lt;&gt;"",'IP Input Sheet'!D13,IF('IP Input Sheet'!E13&lt;&gt;"",'IP Input Sheet'!E13,'IP Input Sheet'!F13)),"[Enter IP]")</f>
        <v>10.3.118.18</v>
      </c>
      <c r="E6" s="11" t="s">
        <v>15</v>
      </c>
      <c r="F6" s="11" t="str">
        <f>IFERROR(IF('IP Input Sheet'!D6&lt;&gt;"",'IP Input Sheet'!D6,IF('IP Input Sheet'!E6&lt;&gt;"",'IP Input Sheet'!E6,'IP Input Sheet'!F6)),"[Enter IP]")</f>
        <v>10.5.25.64/26</v>
      </c>
      <c r="G6" s="11" t="s">
        <v>396</v>
      </c>
      <c r="H6" s="11" t="s">
        <v>154</v>
      </c>
      <c r="I6" s="11" t="s">
        <v>397</v>
      </c>
      <c r="J6" s="12" t="s">
        <v>156</v>
      </c>
      <c r="K6" s="13" t="s">
        <v>157</v>
      </c>
      <c r="L6" s="11" t="s">
        <v>158</v>
      </c>
      <c r="M6" s="11"/>
    </row>
    <row r="7" spans="1:13" ht="18" customHeight="1" x14ac:dyDescent="0.2">
      <c r="A7" s="14" t="s">
        <v>398</v>
      </c>
      <c r="B7" s="14" t="s">
        <v>399</v>
      </c>
      <c r="C7" s="14" t="s">
        <v>37</v>
      </c>
      <c r="D7" s="14" t="str">
        <f>IFERROR(IF('IP Input Sheet'!D13&lt;&gt;"",'IP Input Sheet'!D13,IF('IP Input Sheet'!E13&lt;&gt;"",'IP Input Sheet'!E13,'IP Input Sheet'!F13)),"[Enter IP]")</f>
        <v>10.3.118.18</v>
      </c>
      <c r="E7" s="14" t="s">
        <v>19</v>
      </c>
      <c r="F7" s="14" t="str">
        <f>IFERROR(IF('IP Input Sheet'!D7&lt;&gt;"",'IP Input Sheet'!D7,IF('IP Input Sheet'!E7&lt;&gt;"",'IP Input Sheet'!E7,'IP Input Sheet'!F7)),"[Enter IP]")</f>
        <v>10.5.25.64/26</v>
      </c>
      <c r="G7" s="14" t="s">
        <v>153</v>
      </c>
      <c r="H7" s="14" t="s">
        <v>154</v>
      </c>
      <c r="I7" s="14" t="s">
        <v>400</v>
      </c>
      <c r="J7" s="12" t="s">
        <v>156</v>
      </c>
      <c r="K7" s="13" t="s">
        <v>157</v>
      </c>
      <c r="L7" s="14" t="s">
        <v>163</v>
      </c>
      <c r="M7" s="14"/>
    </row>
    <row r="8" spans="1:13" ht="18" customHeight="1" x14ac:dyDescent="0.2">
      <c r="A8" s="11" t="s">
        <v>401</v>
      </c>
      <c r="B8" s="11" t="s">
        <v>402</v>
      </c>
      <c r="C8" s="11" t="s">
        <v>37</v>
      </c>
      <c r="D8" s="11" t="str">
        <f>IFERROR(IF('IP Input Sheet'!D13&lt;&gt;"",'IP Input Sheet'!D13,IF('IP Input Sheet'!E13&lt;&gt;"",'IP Input Sheet'!E13,'IP Input Sheet'!F13)),"[Enter IP]")</f>
        <v>10.3.118.18</v>
      </c>
      <c r="E8" s="11" t="s">
        <v>403</v>
      </c>
      <c r="F8" s="11" t="str">
        <f>IFERROR(IF('IP Input Sheet'!D8&lt;&gt;"",'IP Input Sheet'!D8,IF('IP Input Sheet'!E8&lt;&gt;"",'IP Input Sheet'!E8,'IP Input Sheet'!F8)),"[Enter IP]")</f>
        <v>10.5.25.64/26</v>
      </c>
      <c r="G8" s="11" t="s">
        <v>404</v>
      </c>
      <c r="H8" s="11" t="s">
        <v>174</v>
      </c>
      <c r="I8" s="11" t="s">
        <v>405</v>
      </c>
      <c r="J8" s="12" t="s">
        <v>156</v>
      </c>
      <c r="K8" s="13" t="s">
        <v>157</v>
      </c>
      <c r="L8" s="11" t="s">
        <v>158</v>
      </c>
      <c r="M8" s="11"/>
    </row>
    <row r="9" spans="1:13" ht="18" customHeight="1" x14ac:dyDescent="0.2">
      <c r="A9" s="14" t="s">
        <v>406</v>
      </c>
      <c r="B9" s="14" t="s">
        <v>407</v>
      </c>
      <c r="C9" s="14" t="s">
        <v>37</v>
      </c>
      <c r="D9" s="14" t="str">
        <f>IFERROR(IF('IP Input Sheet'!D13&lt;&gt;"",'IP Input Sheet'!D13,IF('IP Input Sheet'!E13&lt;&gt;"",'IP Input Sheet'!E13,'IP Input Sheet'!F13)),"[Enter IP]")</f>
        <v>10.3.118.18</v>
      </c>
      <c r="E9" s="14" t="s">
        <v>403</v>
      </c>
      <c r="F9" s="14" t="str">
        <f>IFERROR(IF('IP Input Sheet'!D8&lt;&gt;"",'IP Input Sheet'!D8,IF('IP Input Sheet'!E8&lt;&gt;"",'IP Input Sheet'!E8,'IP Input Sheet'!F8)),"[Enter IP]")</f>
        <v>10.5.25.64/26</v>
      </c>
      <c r="G9" s="14" t="s">
        <v>408</v>
      </c>
      <c r="H9" s="14" t="s">
        <v>154</v>
      </c>
      <c r="I9" s="14" t="s">
        <v>409</v>
      </c>
      <c r="J9" s="12" t="s">
        <v>156</v>
      </c>
      <c r="K9" s="13" t="s">
        <v>157</v>
      </c>
      <c r="L9" s="14" t="s">
        <v>158</v>
      </c>
      <c r="M9" s="14"/>
    </row>
    <row r="10" spans="1:13" ht="18" customHeight="1" x14ac:dyDescent="0.2">
      <c r="A10" s="11" t="s">
        <v>410</v>
      </c>
      <c r="B10" s="11" t="s">
        <v>411</v>
      </c>
      <c r="C10" s="11" t="s">
        <v>37</v>
      </c>
      <c r="D10" s="11" t="str">
        <f>IFERROR(IF('IP Input Sheet'!D13&lt;&gt;"",'IP Input Sheet'!D13,IF('IP Input Sheet'!E13&lt;&gt;"",'IP Input Sheet'!E13,'IP Input Sheet'!F13)),"[Enter IP]")</f>
        <v>10.3.118.18</v>
      </c>
      <c r="E10" s="11" t="s">
        <v>412</v>
      </c>
      <c r="F10" s="11" t="str">
        <f>IFERROR(IF('IP Input Sheet'!D9&lt;&gt;"",'IP Input Sheet'!D9,IF('IP Input Sheet'!E9&lt;&gt;"",'IP Input Sheet'!E9,'IP Input Sheet'!F9)),"[Enter IP]")</f>
        <v>10.5.25.64/26</v>
      </c>
      <c r="G10" s="11" t="s">
        <v>280</v>
      </c>
      <c r="H10" s="11" t="s">
        <v>180</v>
      </c>
      <c r="I10" s="11" t="s">
        <v>413</v>
      </c>
      <c r="J10" s="12" t="s">
        <v>156</v>
      </c>
      <c r="K10" s="13" t="s">
        <v>157</v>
      </c>
      <c r="L10" s="11" t="s">
        <v>158</v>
      </c>
      <c r="M10" s="11" t="s">
        <v>414</v>
      </c>
    </row>
    <row r="11" spans="1:13" ht="18" customHeight="1" x14ac:dyDescent="0.2">
      <c r="A11" s="14" t="s">
        <v>415</v>
      </c>
      <c r="B11" s="14" t="s">
        <v>416</v>
      </c>
      <c r="C11" s="14" t="s">
        <v>169</v>
      </c>
      <c r="D11" s="14" t="str">
        <f>IFERROR(IF('IP Input Sheet'!D14&lt;&gt;"",'IP Input Sheet'!D14,IF('IP Input Sheet'!E14&lt;&gt;"",'IP Input Sheet'!E14,'IP Input Sheet'!F14)),"[Enter IP]")</f>
        <v>10.3.118.0/24</v>
      </c>
      <c r="E11" s="14" t="s">
        <v>15</v>
      </c>
      <c r="F11" s="14" t="str">
        <f>IFERROR(IF('IP Input Sheet'!D6&lt;&gt;"",'IP Input Sheet'!D6,IF('IP Input Sheet'!E6&lt;&gt;"",'IP Input Sheet'!E6,'IP Input Sheet'!F6)),"[Enter IP]")</f>
        <v>10.5.25.64/26</v>
      </c>
      <c r="G11" s="14" t="s">
        <v>153</v>
      </c>
      <c r="H11" s="14" t="s">
        <v>154</v>
      </c>
      <c r="I11" s="14" t="s">
        <v>417</v>
      </c>
      <c r="J11" s="12" t="s">
        <v>156</v>
      </c>
      <c r="K11" s="13" t="s">
        <v>157</v>
      </c>
      <c r="L11" s="14" t="s">
        <v>158</v>
      </c>
      <c r="M11" s="14"/>
    </row>
    <row r="12" spans="1:13" ht="18" customHeight="1" x14ac:dyDescent="0.2">
      <c r="A12" s="11" t="s">
        <v>418</v>
      </c>
      <c r="B12" s="11" t="s">
        <v>419</v>
      </c>
      <c r="C12" s="11" t="s">
        <v>169</v>
      </c>
      <c r="D12" s="11" t="str">
        <f>IFERROR(IF('IP Input Sheet'!D14&lt;&gt;"",'IP Input Sheet'!D14,IF('IP Input Sheet'!E14&lt;&gt;"",'IP Input Sheet'!E14,'IP Input Sheet'!F14)),"[Enter IP]")</f>
        <v>10.3.118.0/24</v>
      </c>
      <c r="E12" s="11" t="s">
        <v>403</v>
      </c>
      <c r="F12" s="11" t="str">
        <f>IFERROR(IF('IP Input Sheet'!D8&lt;&gt;"",'IP Input Sheet'!D8,IF('IP Input Sheet'!E8&lt;&gt;"",'IP Input Sheet'!E8,'IP Input Sheet'!F8)),"[Enter IP]")</f>
        <v>10.5.25.64/26</v>
      </c>
      <c r="G12" s="11" t="s">
        <v>404</v>
      </c>
      <c r="H12" s="11" t="s">
        <v>174</v>
      </c>
      <c r="I12" s="11" t="s">
        <v>420</v>
      </c>
      <c r="J12" s="12" t="s">
        <v>156</v>
      </c>
      <c r="K12" s="13" t="s">
        <v>157</v>
      </c>
      <c r="L12" s="11" t="s">
        <v>158</v>
      </c>
      <c r="M12" s="11"/>
    </row>
    <row r="13" spans="1:13" ht="18" customHeight="1" x14ac:dyDescent="0.2">
      <c r="A13" s="14" t="s">
        <v>421</v>
      </c>
      <c r="B13" s="14" t="s">
        <v>422</v>
      </c>
      <c r="C13" s="14" t="s">
        <v>169</v>
      </c>
      <c r="D13" s="14" t="str">
        <f>IFERROR(IF('IP Input Sheet'!D14&lt;&gt;"",'IP Input Sheet'!D14,IF('IP Input Sheet'!E14&lt;&gt;"",'IP Input Sheet'!E14,'IP Input Sheet'!F14)),"[Enter IP]")</f>
        <v>10.3.118.0/24</v>
      </c>
      <c r="E13" s="14" t="s">
        <v>403</v>
      </c>
      <c r="F13" s="14" t="str">
        <f>IFERROR(IF('IP Input Sheet'!D8&lt;&gt;"",'IP Input Sheet'!D8,IF('IP Input Sheet'!E8&lt;&gt;"",'IP Input Sheet'!E8,'IP Input Sheet'!F8)),"[Enter IP]")</f>
        <v>10.5.25.64/26</v>
      </c>
      <c r="G13" s="14" t="s">
        <v>423</v>
      </c>
      <c r="H13" s="14" t="s">
        <v>154</v>
      </c>
      <c r="I13" s="14" t="s">
        <v>409</v>
      </c>
      <c r="J13" s="12" t="s">
        <v>156</v>
      </c>
      <c r="K13" s="13" t="s">
        <v>157</v>
      </c>
      <c r="L13" s="14" t="s">
        <v>158</v>
      </c>
      <c r="M13" s="14"/>
    </row>
    <row r="14" spans="1:13" ht="18" customHeight="1" x14ac:dyDescent="0.2">
      <c r="A14" s="11" t="s">
        <v>424</v>
      </c>
      <c r="B14" s="11" t="s">
        <v>425</v>
      </c>
      <c r="C14" s="11" t="s">
        <v>47</v>
      </c>
      <c r="D14" s="11" t="str">
        <f>IFERROR(IF('IP Input Sheet'!D16&lt;&gt;"",'IP Input Sheet'!D16,IF('IP Input Sheet'!E16&lt;&gt;"",'IP Input Sheet'!E16,'IP Input Sheet'!F16)),"[Enter IP]")</f>
        <v>10.3.118.30</v>
      </c>
      <c r="E14" s="11" t="s">
        <v>388</v>
      </c>
      <c r="F14" s="11" t="str">
        <f>IFERROR(IF('IP Input Sheet'!D5&lt;&gt;"",'IP Input Sheet'!D5,IF('IP Input Sheet'!E5&lt;&gt;"",'IP Input Sheet'!E5,'IP Input Sheet'!F5)),"[Enter IP]")</f>
        <v>10.3.118.28</v>
      </c>
      <c r="G14" s="11" t="s">
        <v>153</v>
      </c>
      <c r="H14" s="11" t="s">
        <v>154</v>
      </c>
      <c r="I14" s="11" t="s">
        <v>426</v>
      </c>
      <c r="J14" s="12" t="s">
        <v>156</v>
      </c>
      <c r="K14" s="13" t="s">
        <v>157</v>
      </c>
      <c r="L14" s="11" t="s">
        <v>158</v>
      </c>
      <c r="M14" s="11"/>
    </row>
    <row r="15" spans="1:13" ht="18" customHeight="1" x14ac:dyDescent="0.2">
      <c r="A15" s="14" t="s">
        <v>427</v>
      </c>
      <c r="B15" s="14" t="s">
        <v>428</v>
      </c>
      <c r="C15" s="14" t="s">
        <v>47</v>
      </c>
      <c r="D15" s="14" t="str">
        <f>IFERROR(IF('IP Input Sheet'!D16&lt;&gt;"",'IP Input Sheet'!D16,IF('IP Input Sheet'!E16&lt;&gt;"",'IP Input Sheet'!E16,'IP Input Sheet'!F16)),"[Enter IP]")</f>
        <v>10.3.118.30</v>
      </c>
      <c r="E15" s="14" t="s">
        <v>388</v>
      </c>
      <c r="F15" s="14" t="str">
        <f>IFERROR(IF('IP Input Sheet'!D5&lt;&gt;"",'IP Input Sheet'!D5,IF('IP Input Sheet'!E5&lt;&gt;"",'IP Input Sheet'!E5,'IP Input Sheet'!F5)),"[Enter IP]")</f>
        <v>10.3.118.28</v>
      </c>
      <c r="G15" s="14" t="s">
        <v>189</v>
      </c>
      <c r="H15" s="14" t="s">
        <v>154</v>
      </c>
      <c r="I15" s="14" t="s">
        <v>429</v>
      </c>
      <c r="J15" s="12" t="s">
        <v>156</v>
      </c>
      <c r="K15" s="13" t="s">
        <v>157</v>
      </c>
      <c r="L15" s="14" t="s">
        <v>158</v>
      </c>
      <c r="M15" s="14" t="s">
        <v>191</v>
      </c>
    </row>
    <row r="16" spans="1:13" ht="18" customHeight="1" x14ac:dyDescent="0.2">
      <c r="A16" s="11" t="s">
        <v>430</v>
      </c>
      <c r="B16" s="11" t="s">
        <v>431</v>
      </c>
      <c r="C16" s="11" t="s">
        <v>47</v>
      </c>
      <c r="D16" s="11" t="str">
        <f>IFERROR(IF('IP Input Sheet'!D16&lt;&gt;"",'IP Input Sheet'!D16,IF('IP Input Sheet'!E16&lt;&gt;"",'IP Input Sheet'!E16,'IP Input Sheet'!F16)),"[Enter IP]")</f>
        <v>10.3.118.30</v>
      </c>
      <c r="E16" s="11" t="s">
        <v>19</v>
      </c>
      <c r="F16" s="11" t="str">
        <f>IFERROR(IF('IP Input Sheet'!D7&lt;&gt;"",'IP Input Sheet'!D7,IF('IP Input Sheet'!E7&lt;&gt;"",'IP Input Sheet'!E7,'IP Input Sheet'!F7)),"[Enter IP]")</f>
        <v>10.5.25.64/26</v>
      </c>
      <c r="G16" s="11" t="s">
        <v>153</v>
      </c>
      <c r="H16" s="11" t="s">
        <v>154</v>
      </c>
      <c r="I16" s="11" t="s">
        <v>432</v>
      </c>
      <c r="J16" s="12" t="s">
        <v>156</v>
      </c>
      <c r="K16" s="13" t="s">
        <v>157</v>
      </c>
      <c r="L16" s="11" t="s">
        <v>158</v>
      </c>
      <c r="M16" s="11"/>
    </row>
    <row r="17" spans="1:13" ht="18" customHeight="1" x14ac:dyDescent="0.2">
      <c r="A17" s="14" t="s">
        <v>433</v>
      </c>
      <c r="B17" s="14" t="s">
        <v>434</v>
      </c>
      <c r="C17" s="14" t="s">
        <v>47</v>
      </c>
      <c r="D17" s="14" t="str">
        <f>IFERROR(IF('IP Input Sheet'!D16&lt;&gt;"",'IP Input Sheet'!D16,IF('IP Input Sheet'!E16&lt;&gt;"",'IP Input Sheet'!E16,'IP Input Sheet'!F16)),"[Enter IP]")</f>
        <v>10.3.118.30</v>
      </c>
      <c r="E17" s="14" t="s">
        <v>19</v>
      </c>
      <c r="F17" s="14" t="str">
        <f>IFERROR(IF('IP Input Sheet'!D7&lt;&gt;"",'IP Input Sheet'!D7,IF('IP Input Sheet'!E7&lt;&gt;"",'IP Input Sheet'!E7,'IP Input Sheet'!F7)),"[Enter IP]")</f>
        <v>10.5.25.64/26</v>
      </c>
      <c r="G17" s="14" t="s">
        <v>189</v>
      </c>
      <c r="H17" s="14" t="s">
        <v>154</v>
      </c>
      <c r="I17" s="14" t="s">
        <v>435</v>
      </c>
      <c r="J17" s="12" t="s">
        <v>156</v>
      </c>
      <c r="K17" s="13" t="s">
        <v>157</v>
      </c>
      <c r="L17" s="14" t="s">
        <v>158</v>
      </c>
      <c r="M17" s="14" t="s">
        <v>191</v>
      </c>
    </row>
    <row r="18" spans="1:13" ht="18" customHeight="1" x14ac:dyDescent="0.2">
      <c r="A18" s="11" t="s">
        <v>436</v>
      </c>
      <c r="B18" s="11" t="s">
        <v>437</v>
      </c>
      <c r="C18" s="11" t="s">
        <v>47</v>
      </c>
      <c r="D18" s="11" t="str">
        <f>IFERROR(IF('IP Input Sheet'!D16&lt;&gt;"",'IP Input Sheet'!D16,IF('IP Input Sheet'!E16&lt;&gt;"",'IP Input Sheet'!E16,'IP Input Sheet'!F16)),"[Enter IP]")</f>
        <v>10.3.118.30</v>
      </c>
      <c r="E18" s="11" t="s">
        <v>15</v>
      </c>
      <c r="F18" s="11" t="str">
        <f>IFERROR(IF('IP Input Sheet'!D6&lt;&gt;"",'IP Input Sheet'!D6,IF('IP Input Sheet'!E6&lt;&gt;"",'IP Input Sheet'!E6,'IP Input Sheet'!F6)),"[Enter IP]")</f>
        <v>10.5.25.64/26</v>
      </c>
      <c r="G18" s="11" t="s">
        <v>153</v>
      </c>
      <c r="H18" s="11" t="s">
        <v>154</v>
      </c>
      <c r="I18" s="11" t="s">
        <v>438</v>
      </c>
      <c r="J18" s="12" t="s">
        <v>156</v>
      </c>
      <c r="K18" s="13" t="s">
        <v>157</v>
      </c>
      <c r="L18" s="11" t="s">
        <v>158</v>
      </c>
      <c r="M18" s="11"/>
    </row>
    <row r="19" spans="1:13" ht="18" customHeight="1" x14ac:dyDescent="0.2">
      <c r="A19" s="14" t="s">
        <v>439</v>
      </c>
      <c r="B19" s="14" t="s">
        <v>440</v>
      </c>
      <c r="C19" s="14" t="s">
        <v>47</v>
      </c>
      <c r="D19" s="14" t="str">
        <f>IFERROR(IF('IP Input Sheet'!D16&lt;&gt;"",'IP Input Sheet'!D16,IF('IP Input Sheet'!E16&lt;&gt;"",'IP Input Sheet'!E16,'IP Input Sheet'!F16)),"[Enter IP]")</f>
        <v>10.3.118.30</v>
      </c>
      <c r="E19" s="14" t="s">
        <v>15</v>
      </c>
      <c r="F19" s="14" t="str">
        <f>IFERROR(IF('IP Input Sheet'!D6&lt;&gt;"",'IP Input Sheet'!D6,IF('IP Input Sheet'!E6&lt;&gt;"",'IP Input Sheet'!E6,'IP Input Sheet'!F6)),"[Enter IP]")</f>
        <v>10.5.25.64/26</v>
      </c>
      <c r="G19" s="14" t="s">
        <v>189</v>
      </c>
      <c r="H19" s="14" t="s">
        <v>154</v>
      </c>
      <c r="I19" s="14" t="s">
        <v>441</v>
      </c>
      <c r="J19" s="12" t="s">
        <v>156</v>
      </c>
      <c r="K19" s="13" t="s">
        <v>157</v>
      </c>
      <c r="L19" s="14" t="s">
        <v>158</v>
      </c>
      <c r="M19" s="14" t="s">
        <v>191</v>
      </c>
    </row>
    <row r="20" spans="1:13" ht="18" customHeight="1" x14ac:dyDescent="0.2">
      <c r="A20" s="11" t="s">
        <v>442</v>
      </c>
      <c r="B20" s="11" t="s">
        <v>443</v>
      </c>
      <c r="C20" s="11" t="s">
        <v>47</v>
      </c>
      <c r="D20" s="11" t="str">
        <f>IFERROR(IF('IP Input Sheet'!D16&lt;&gt;"",'IP Input Sheet'!D16,IF('IP Input Sheet'!E16&lt;&gt;"",'IP Input Sheet'!E16,'IP Input Sheet'!F16)),"[Enter IP]")</f>
        <v>10.3.118.30</v>
      </c>
      <c r="E20" s="11" t="s">
        <v>403</v>
      </c>
      <c r="F20" s="11" t="str">
        <f>IFERROR(IF('IP Input Sheet'!D8&lt;&gt;"",'IP Input Sheet'!D8,IF('IP Input Sheet'!E8&lt;&gt;"",'IP Input Sheet'!E8,'IP Input Sheet'!F8)),"[Enter IP]")</f>
        <v>10.5.25.64/26</v>
      </c>
      <c r="G20" s="11" t="s">
        <v>404</v>
      </c>
      <c r="H20" s="11" t="s">
        <v>154</v>
      </c>
      <c r="I20" s="11" t="s">
        <v>444</v>
      </c>
      <c r="J20" s="12" t="s">
        <v>156</v>
      </c>
      <c r="K20" s="13" t="s">
        <v>157</v>
      </c>
      <c r="L20" s="11" t="s">
        <v>158</v>
      </c>
      <c r="M20" s="11"/>
    </row>
    <row r="21" spans="1:13" ht="18" customHeight="1" x14ac:dyDescent="0.2">
      <c r="A21" s="14" t="s">
        <v>445</v>
      </c>
      <c r="B21" s="14" t="s">
        <v>446</v>
      </c>
      <c r="C21" s="14" t="s">
        <v>47</v>
      </c>
      <c r="D21" s="14" t="str">
        <f>IFERROR(IF('IP Input Sheet'!D16&lt;&gt;"",'IP Input Sheet'!D16,IF('IP Input Sheet'!E16&lt;&gt;"",'IP Input Sheet'!E16,'IP Input Sheet'!F16)),"[Enter IP]")</f>
        <v>10.3.118.30</v>
      </c>
      <c r="E21" s="14" t="s">
        <v>403</v>
      </c>
      <c r="F21" s="14" t="str">
        <f>IFERROR(IF('IP Input Sheet'!D8&lt;&gt;"",'IP Input Sheet'!D8,IF('IP Input Sheet'!E8&lt;&gt;"",'IP Input Sheet'!E8,'IP Input Sheet'!F8)),"[Enter IP]")</f>
        <v>10.5.25.64/26</v>
      </c>
      <c r="G21" s="14" t="s">
        <v>447</v>
      </c>
      <c r="H21" s="14" t="s">
        <v>154</v>
      </c>
      <c r="I21" s="14" t="s">
        <v>448</v>
      </c>
      <c r="J21" s="12" t="s">
        <v>156</v>
      </c>
      <c r="K21" s="13" t="s">
        <v>157</v>
      </c>
      <c r="L21" s="14" t="s">
        <v>158</v>
      </c>
      <c r="M21" s="14"/>
    </row>
    <row r="22" spans="1:13" ht="18" customHeight="1" x14ac:dyDescent="0.2">
      <c r="A22" s="11" t="s">
        <v>449</v>
      </c>
      <c r="B22" s="11" t="s">
        <v>450</v>
      </c>
      <c r="C22" s="11" t="s">
        <v>47</v>
      </c>
      <c r="D22" s="11" t="str">
        <f>IFERROR(IF('IP Input Sheet'!D16&lt;&gt;"",'IP Input Sheet'!D16,IF('IP Input Sheet'!E16&lt;&gt;"",'IP Input Sheet'!E16,'IP Input Sheet'!F16)),"[Enter IP]")</f>
        <v>10.3.118.30</v>
      </c>
      <c r="E22" s="11" t="s">
        <v>403</v>
      </c>
      <c r="F22" s="11" t="str">
        <f>IFERROR(IF('IP Input Sheet'!D8&lt;&gt;"",'IP Input Sheet'!D8,IF('IP Input Sheet'!E8&lt;&gt;"",'IP Input Sheet'!E8,'IP Input Sheet'!F8)),"[Enter IP]")</f>
        <v>10.5.25.64/26</v>
      </c>
      <c r="G22" s="11" t="s">
        <v>153</v>
      </c>
      <c r="H22" s="11" t="s">
        <v>154</v>
      </c>
      <c r="I22" s="11" t="s">
        <v>451</v>
      </c>
      <c r="J22" s="12" t="s">
        <v>156</v>
      </c>
      <c r="K22" s="13" t="s">
        <v>157</v>
      </c>
      <c r="L22" s="11" t="s">
        <v>158</v>
      </c>
      <c r="M22" s="11"/>
    </row>
    <row r="23" spans="1:13" ht="18" customHeight="1" x14ac:dyDescent="0.2">
      <c r="A23" s="14" t="s">
        <v>452</v>
      </c>
      <c r="B23" s="14" t="s">
        <v>453</v>
      </c>
      <c r="C23" s="14" t="s">
        <v>47</v>
      </c>
      <c r="D23" s="14" t="str">
        <f>IFERROR(IF('IP Input Sheet'!D16&lt;&gt;"",'IP Input Sheet'!D16,IF('IP Input Sheet'!E16&lt;&gt;"",'IP Input Sheet'!E16,'IP Input Sheet'!F16)),"[Enter IP]")</f>
        <v>10.3.118.30</v>
      </c>
      <c r="E23" s="14" t="s">
        <v>403</v>
      </c>
      <c r="F23" s="14" t="str">
        <f>IFERROR(IF('IP Input Sheet'!D8&lt;&gt;"",'IP Input Sheet'!D8,IF('IP Input Sheet'!E8&lt;&gt;"",'IP Input Sheet'!E8,'IP Input Sheet'!F8)),"[Enter IP]")</f>
        <v>10.5.25.64/26</v>
      </c>
      <c r="G23" s="14" t="s">
        <v>454</v>
      </c>
      <c r="H23" s="14" t="s">
        <v>154</v>
      </c>
      <c r="I23" s="14" t="s">
        <v>455</v>
      </c>
      <c r="J23" s="12" t="s">
        <v>156</v>
      </c>
      <c r="K23" s="13" t="s">
        <v>157</v>
      </c>
      <c r="L23" s="14" t="s">
        <v>158</v>
      </c>
      <c r="M23" s="14"/>
    </row>
    <row r="24" spans="1:13" ht="18" customHeight="1" x14ac:dyDescent="0.2">
      <c r="A24" s="11" t="s">
        <v>456</v>
      </c>
      <c r="B24" s="11" t="s">
        <v>457</v>
      </c>
      <c r="C24" s="11" t="s">
        <v>47</v>
      </c>
      <c r="D24" s="11" t="str">
        <f>IFERROR(IF('IP Input Sheet'!D16&lt;&gt;"",'IP Input Sheet'!D16,IF('IP Input Sheet'!E16&lt;&gt;"",'IP Input Sheet'!E16,'IP Input Sheet'!F16)),"[Enter IP]")</f>
        <v>10.3.118.30</v>
      </c>
      <c r="E24" s="11" t="s">
        <v>28</v>
      </c>
      <c r="F24" s="11" t="str">
        <f>IFERROR(IF('IP Input Sheet'!D10&lt;&gt;"",'IP Input Sheet'!D10,IF('IP Input Sheet'!E10&lt;&gt;"",'IP Input Sheet'!E10,'IP Input Sheet'!F10)),"[Enter IP]")</f>
        <v>10.3.118.0/24</v>
      </c>
      <c r="G24" s="11" t="s">
        <v>153</v>
      </c>
      <c r="H24" s="11" t="s">
        <v>154</v>
      </c>
      <c r="I24" s="11" t="s">
        <v>458</v>
      </c>
      <c r="J24" s="12" t="s">
        <v>156</v>
      </c>
      <c r="K24" s="13" t="s">
        <v>157</v>
      </c>
      <c r="L24" s="11" t="s">
        <v>158</v>
      </c>
      <c r="M24" s="11" t="s">
        <v>459</v>
      </c>
    </row>
    <row r="25" spans="1:13" ht="18" customHeight="1" x14ac:dyDescent="0.2">
      <c r="A25" s="14" t="s">
        <v>460</v>
      </c>
      <c r="B25" s="14" t="s">
        <v>461</v>
      </c>
      <c r="C25" s="14" t="s">
        <v>47</v>
      </c>
      <c r="D25" s="14" t="str">
        <f>IFERROR(IF('IP Input Sheet'!D16&lt;&gt;"",'IP Input Sheet'!D16,IF('IP Input Sheet'!E16&lt;&gt;"",'IP Input Sheet'!E16,'IP Input Sheet'!F16)),"[Enter IP]")</f>
        <v>10.3.118.30</v>
      </c>
      <c r="E25" s="14" t="s">
        <v>28</v>
      </c>
      <c r="F25" s="14" t="str">
        <f>IFERROR(IF('IP Input Sheet'!D10&lt;&gt;"",'IP Input Sheet'!D10,IF('IP Input Sheet'!E10&lt;&gt;"",'IP Input Sheet'!E10,'IP Input Sheet'!F10)),"[Enter IP]")</f>
        <v>10.3.118.0/24</v>
      </c>
      <c r="G25" s="14" t="s">
        <v>189</v>
      </c>
      <c r="H25" s="14" t="s">
        <v>154</v>
      </c>
      <c r="I25" s="14" t="s">
        <v>462</v>
      </c>
      <c r="J25" s="12" t="s">
        <v>156</v>
      </c>
      <c r="K25" s="13" t="s">
        <v>157</v>
      </c>
      <c r="L25" s="14" t="s">
        <v>158</v>
      </c>
      <c r="M25" s="14" t="s">
        <v>463</v>
      </c>
    </row>
    <row r="26" spans="1:13" ht="18" customHeight="1" x14ac:dyDescent="0.2">
      <c r="A26" s="11" t="s">
        <v>464</v>
      </c>
      <c r="B26" s="11" t="s">
        <v>465</v>
      </c>
      <c r="C26" s="11" t="s">
        <v>184</v>
      </c>
      <c r="D26" s="11">
        <f>IFERROR(IF('IP Input Sheet'!D20&lt;&gt;"",'IP Input Sheet'!D20,IF('IP Input Sheet'!E20&lt;&gt;"",'IP Input Sheet'!E20,'IP Input Sheet'!F20)),"[Enter IP]")</f>
        <v>0</v>
      </c>
      <c r="E26" s="11" t="s">
        <v>403</v>
      </c>
      <c r="F26" s="11" t="str">
        <f>IFERROR(IF('IP Input Sheet'!D8&lt;&gt;"",'IP Input Sheet'!D8,IF('IP Input Sheet'!E8&lt;&gt;"",'IP Input Sheet'!E8,'IP Input Sheet'!F8)),"[Enter IP]")</f>
        <v>10.5.25.64/26</v>
      </c>
      <c r="G26" s="11" t="s">
        <v>404</v>
      </c>
      <c r="H26" s="11" t="s">
        <v>174</v>
      </c>
      <c r="I26" s="11" t="s">
        <v>466</v>
      </c>
      <c r="J26" s="12" t="s">
        <v>156</v>
      </c>
      <c r="K26" s="13" t="s">
        <v>157</v>
      </c>
      <c r="L26" s="11" t="s">
        <v>158</v>
      </c>
      <c r="M26" s="11" t="s">
        <v>467</v>
      </c>
    </row>
    <row r="27" spans="1:13" ht="18" customHeight="1" x14ac:dyDescent="0.2">
      <c r="A27" s="14" t="s">
        <v>468</v>
      </c>
      <c r="B27" s="14" t="s">
        <v>469</v>
      </c>
      <c r="C27" s="14" t="s">
        <v>184</v>
      </c>
      <c r="D27" s="14">
        <f>IFERROR(IF('IP Input Sheet'!D20&lt;&gt;"",'IP Input Sheet'!D20,IF('IP Input Sheet'!E20&lt;&gt;"",'IP Input Sheet'!E20,'IP Input Sheet'!F20)),"[Enter IP]")</f>
        <v>0</v>
      </c>
      <c r="E27" s="14" t="s">
        <v>403</v>
      </c>
      <c r="F27" s="14" t="str">
        <f>IFERROR(IF('IP Input Sheet'!D8&lt;&gt;"",'IP Input Sheet'!D8,IF('IP Input Sheet'!E8&lt;&gt;"",'IP Input Sheet'!E8,'IP Input Sheet'!F8)),"[Enter IP]")</f>
        <v>10.5.25.64/26</v>
      </c>
      <c r="G27" s="14" t="s">
        <v>408</v>
      </c>
      <c r="H27" s="14" t="s">
        <v>154</v>
      </c>
      <c r="I27" s="14" t="s">
        <v>470</v>
      </c>
      <c r="J27" s="12" t="s">
        <v>156</v>
      </c>
      <c r="K27" s="13" t="s">
        <v>157</v>
      </c>
      <c r="L27" s="14" t="s">
        <v>158</v>
      </c>
      <c r="M27" s="14"/>
    </row>
    <row r="28" spans="1:13" ht="18" customHeight="1" x14ac:dyDescent="0.2">
      <c r="A28" s="11" t="s">
        <v>471</v>
      </c>
      <c r="B28" s="11" t="s">
        <v>472</v>
      </c>
      <c r="C28" s="11" t="s">
        <v>184</v>
      </c>
      <c r="D28" s="11">
        <f>IFERROR(IF('IP Input Sheet'!D20&lt;&gt;"",'IP Input Sheet'!D20,IF('IP Input Sheet'!E20&lt;&gt;"",'IP Input Sheet'!E20,'IP Input Sheet'!F20)),"[Enter IP]")</f>
        <v>0</v>
      </c>
      <c r="E28" s="11" t="s">
        <v>412</v>
      </c>
      <c r="F28" s="11" t="str">
        <f>IFERROR(IF('IP Input Sheet'!D9&lt;&gt;"",'IP Input Sheet'!D9,IF('IP Input Sheet'!E9&lt;&gt;"",'IP Input Sheet'!E9,'IP Input Sheet'!F9)),"[Enter IP]")</f>
        <v>10.5.25.64/26</v>
      </c>
      <c r="G28" s="11" t="s">
        <v>285</v>
      </c>
      <c r="H28" s="11" t="s">
        <v>174</v>
      </c>
      <c r="I28" s="11" t="s">
        <v>473</v>
      </c>
      <c r="J28" s="12" t="s">
        <v>156</v>
      </c>
      <c r="K28" s="13" t="s">
        <v>157</v>
      </c>
      <c r="L28" s="11" t="s">
        <v>158</v>
      </c>
      <c r="M28" s="11"/>
    </row>
    <row r="29" spans="1:13" ht="18" customHeight="1" x14ac:dyDescent="0.2">
      <c r="A29" s="14" t="s">
        <v>474</v>
      </c>
      <c r="B29" s="14" t="s">
        <v>475</v>
      </c>
      <c r="C29" s="14" t="s">
        <v>476</v>
      </c>
      <c r="D29" s="14" t="str">
        <f>IFERROR(IF('IP Input Sheet'!D18&lt;&gt;"",'IP Input Sheet'!D18,IF('IP Input Sheet'!E18&lt;&gt;"",'IP Input Sheet'!E18,'IP Input Sheet'!F18)),"[Enter IP]")</f>
        <v>10.3.118.0/24</v>
      </c>
      <c r="E29" s="14" t="s">
        <v>403</v>
      </c>
      <c r="F29" s="14" t="str">
        <f>IFERROR(IF('IP Input Sheet'!D8&lt;&gt;"",'IP Input Sheet'!D8,IF('IP Input Sheet'!E8&lt;&gt;"",'IP Input Sheet'!E8,'IP Input Sheet'!F8)),"[Enter IP]")</f>
        <v>10.5.25.64/26</v>
      </c>
      <c r="G29" s="14" t="s">
        <v>404</v>
      </c>
      <c r="H29" s="14" t="s">
        <v>174</v>
      </c>
      <c r="I29" s="14" t="s">
        <v>477</v>
      </c>
      <c r="J29" s="12" t="s">
        <v>156</v>
      </c>
      <c r="K29" s="13" t="s">
        <v>157</v>
      </c>
      <c r="L29" s="14" t="s">
        <v>158</v>
      </c>
      <c r="M29" s="14"/>
    </row>
    <row r="30" spans="1:13" ht="18" customHeight="1" x14ac:dyDescent="0.2">
      <c r="A30" s="11" t="s">
        <v>478</v>
      </c>
      <c r="B30" s="11" t="s">
        <v>479</v>
      </c>
      <c r="C30" s="11" t="s">
        <v>476</v>
      </c>
      <c r="D30" s="11" t="str">
        <f>IFERROR(IF('IP Input Sheet'!D18&lt;&gt;"",'IP Input Sheet'!D18,IF('IP Input Sheet'!E18&lt;&gt;"",'IP Input Sheet'!E18,'IP Input Sheet'!F18)),"[Enter IP]")</f>
        <v>10.3.118.0/24</v>
      </c>
      <c r="E30" s="11" t="s">
        <v>403</v>
      </c>
      <c r="F30" s="11" t="str">
        <f>IFERROR(IF('IP Input Sheet'!D8&lt;&gt;"",'IP Input Sheet'!D8,IF('IP Input Sheet'!E8&lt;&gt;"",'IP Input Sheet'!E8,'IP Input Sheet'!F8)),"[Enter IP]")</f>
        <v>10.5.25.64/26</v>
      </c>
      <c r="G30" s="11" t="s">
        <v>408</v>
      </c>
      <c r="H30" s="11" t="s">
        <v>154</v>
      </c>
      <c r="I30" s="11" t="s">
        <v>480</v>
      </c>
      <c r="J30" s="12" t="s">
        <v>156</v>
      </c>
      <c r="K30" s="13" t="s">
        <v>157</v>
      </c>
      <c r="L30" s="11" t="s">
        <v>158</v>
      </c>
      <c r="M30" s="11"/>
    </row>
    <row r="31" spans="1:13" ht="18" customHeight="1" x14ac:dyDescent="0.2">
      <c r="A31" s="14" t="s">
        <v>481</v>
      </c>
      <c r="B31" s="14" t="s">
        <v>482</v>
      </c>
      <c r="C31" s="14" t="s">
        <v>483</v>
      </c>
      <c r="D31" s="14" t="s">
        <v>484</v>
      </c>
      <c r="E31" s="14" t="s">
        <v>485</v>
      </c>
      <c r="F31" s="14" t="s">
        <v>486</v>
      </c>
      <c r="G31" s="14" t="s">
        <v>487</v>
      </c>
      <c r="H31" s="14" t="s">
        <v>487</v>
      </c>
      <c r="I31" s="14" t="s">
        <v>488</v>
      </c>
      <c r="J31" s="12" t="s">
        <v>156</v>
      </c>
      <c r="K31" s="13" t="s">
        <v>157</v>
      </c>
      <c r="L31" s="14" t="s">
        <v>163</v>
      </c>
      <c r="M31" s="14" t="s">
        <v>489</v>
      </c>
    </row>
    <row r="32" spans="1:13" ht="18" customHeight="1" x14ac:dyDescent="0.2">
      <c r="A32" s="11" t="s">
        <v>490</v>
      </c>
      <c r="B32" s="11" t="s">
        <v>491</v>
      </c>
      <c r="C32" s="11" t="s">
        <v>305</v>
      </c>
      <c r="D32" s="11" t="str">
        <f>IFERROR(IF('IP Input Sheet'!D19&lt;&gt;"",'IP Input Sheet'!D19,IF('IP Input Sheet'!E19&lt;&gt;"",'IP Input Sheet'!E19,'IP Input Sheet'!F19)),"[Enter IP]")</f>
        <v>10.3.118.101</v>
      </c>
      <c r="E32" s="11" t="s">
        <v>279</v>
      </c>
      <c r="F32" s="11" t="str">
        <f>IFERROR(IF('IP Input Sheet'!D9&lt;&gt;"",'IP Input Sheet'!D9,IF('IP Input Sheet'!E9&lt;&gt;"",'IP Input Sheet'!E9,'IP Input Sheet'!F9)),"[Enter IP]")</f>
        <v>10.5.25.64/26</v>
      </c>
      <c r="G32" s="11" t="s">
        <v>153</v>
      </c>
      <c r="H32" s="11" t="s">
        <v>154</v>
      </c>
      <c r="I32" s="11" t="s">
        <v>492</v>
      </c>
      <c r="J32" s="12" t="s">
        <v>156</v>
      </c>
      <c r="K32" s="13" t="s">
        <v>157</v>
      </c>
      <c r="L32" s="11" t="s">
        <v>158</v>
      </c>
      <c r="M32" s="11" t="s">
        <v>307</v>
      </c>
    </row>
    <row r="33" spans="1:13" ht="18" customHeight="1" x14ac:dyDescent="0.2">
      <c r="A33" s="14" t="s">
        <v>493</v>
      </c>
      <c r="B33" s="14" t="s">
        <v>494</v>
      </c>
      <c r="C33" s="14" t="s">
        <v>305</v>
      </c>
      <c r="D33" s="14" t="str">
        <f>IFERROR(IF('IP Input Sheet'!D19&lt;&gt;"",'IP Input Sheet'!D19,IF('IP Input Sheet'!E19&lt;&gt;"",'IP Input Sheet'!E19,'IP Input Sheet'!F19)),"[Enter IP]")</f>
        <v>10.3.118.101</v>
      </c>
      <c r="E33" s="14" t="s">
        <v>169</v>
      </c>
      <c r="F33" s="14" t="str">
        <f>IFERROR(IF('IP Input Sheet'!D14&lt;&gt;"",'IP Input Sheet'!D14,IF('IP Input Sheet'!E14&lt;&gt;"",'IP Input Sheet'!E14,'IP Input Sheet'!F14)),"[Enter IP]")</f>
        <v>10.3.118.0/24</v>
      </c>
      <c r="G33" s="14" t="s">
        <v>153</v>
      </c>
      <c r="H33" s="14" t="s">
        <v>154</v>
      </c>
      <c r="I33" s="14" t="s">
        <v>495</v>
      </c>
      <c r="J33" s="12" t="s">
        <v>156</v>
      </c>
      <c r="K33" s="13" t="s">
        <v>157</v>
      </c>
      <c r="L33" s="14" t="s">
        <v>158</v>
      </c>
      <c r="M33" s="14" t="s">
        <v>315</v>
      </c>
    </row>
    <row r="34" spans="1:13" ht="18" customHeight="1" x14ac:dyDescent="0.2">
      <c r="A34" s="11" t="s">
        <v>496</v>
      </c>
      <c r="B34" s="11" t="s">
        <v>497</v>
      </c>
      <c r="C34" s="11" t="s">
        <v>305</v>
      </c>
      <c r="D34" s="11" t="str">
        <f>IFERROR(IF('IP Input Sheet'!D19&lt;&gt;"",'IP Input Sheet'!D19,IF('IP Input Sheet'!E19&lt;&gt;"",'IP Input Sheet'!E19,'IP Input Sheet'!F19)),"[Enter IP]")</f>
        <v>10.3.118.101</v>
      </c>
      <c r="E34" s="11" t="s">
        <v>37</v>
      </c>
      <c r="F34" s="11" t="str">
        <f>IFERROR(IF('IP Input Sheet'!D13&lt;&gt;"",'IP Input Sheet'!D13,IF('IP Input Sheet'!E13&lt;&gt;"",'IP Input Sheet'!E13,'IP Input Sheet'!F13)),"[Enter IP]")</f>
        <v>10.3.118.18</v>
      </c>
      <c r="G34" s="11" t="s">
        <v>153</v>
      </c>
      <c r="H34" s="11" t="s">
        <v>154</v>
      </c>
      <c r="I34" s="11" t="s">
        <v>498</v>
      </c>
      <c r="J34" s="12" t="s">
        <v>156</v>
      </c>
      <c r="K34" s="13" t="s">
        <v>157</v>
      </c>
      <c r="L34" s="11" t="s">
        <v>158</v>
      </c>
      <c r="M34" s="11" t="s">
        <v>315</v>
      </c>
    </row>
    <row r="35" spans="1:13" ht="18" customHeight="1" x14ac:dyDescent="0.2">
      <c r="A35" s="14" t="s">
        <v>499</v>
      </c>
      <c r="B35" s="14" t="s">
        <v>500</v>
      </c>
      <c r="C35" s="14" t="s">
        <v>47</v>
      </c>
      <c r="D35" s="14" t="str">
        <f>IFERROR(IF('IP Input Sheet'!D16&lt;&gt;"",'IP Input Sheet'!D16,IF('IP Input Sheet'!E16&lt;&gt;"",'IP Input Sheet'!E16,'IP Input Sheet'!F16)),"[Enter IP]")</f>
        <v>10.3.118.30</v>
      </c>
      <c r="E35" s="14" t="s">
        <v>305</v>
      </c>
      <c r="F35" s="14" t="str">
        <f>IFERROR(IF('IP Input Sheet'!D19&lt;&gt;"",'IP Input Sheet'!D19,IF('IP Input Sheet'!E19&lt;&gt;"",'IP Input Sheet'!E19,'IP Input Sheet'!F19)),"[Enter IP]")</f>
        <v>10.3.118.101</v>
      </c>
      <c r="G35" s="14" t="s">
        <v>153</v>
      </c>
      <c r="H35" s="14" t="s">
        <v>154</v>
      </c>
      <c r="I35" s="14" t="s">
        <v>501</v>
      </c>
      <c r="J35" s="12" t="s">
        <v>156</v>
      </c>
      <c r="K35" s="13" t="s">
        <v>157</v>
      </c>
      <c r="L35" s="14" t="s">
        <v>158</v>
      </c>
      <c r="M35" s="14" t="s">
        <v>315</v>
      </c>
    </row>
    <row r="36" spans="1:13" ht="15.75" customHeight="1" x14ac:dyDescent="0.2"/>
    <row r="37" spans="1:13" ht="15.75" customHeight="1" x14ac:dyDescent="0.2"/>
    <row r="38" spans="1:13" ht="15.75" customHeight="1" x14ac:dyDescent="0.2"/>
    <row r="39" spans="1:13" ht="15.75" customHeight="1" x14ac:dyDescent="0.2"/>
    <row r="40" spans="1:13" ht="15.75" customHeight="1" x14ac:dyDescent="0.2"/>
    <row r="41" spans="1:13" ht="15.75" customHeight="1" x14ac:dyDescent="0.2"/>
    <row r="42" spans="1:13" ht="15.75" customHeight="1" x14ac:dyDescent="0.2"/>
    <row r="43" spans="1:13" ht="15.75" customHeight="1" x14ac:dyDescent="0.2"/>
    <row r="44" spans="1:13" ht="15.75" customHeight="1" x14ac:dyDescent="0.2"/>
    <row r="45" spans="1:13" ht="15.75" customHeight="1" x14ac:dyDescent="0.2"/>
    <row r="46" spans="1:13" ht="15.75" customHeight="1" x14ac:dyDescent="0.2"/>
    <row r="47" spans="1:13" ht="15.75" customHeight="1" x14ac:dyDescent="0.2"/>
    <row r="48" spans="1:13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M1"/>
    <mergeCell ref="A2:M2"/>
  </mergeCells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00"/>
  </sheetPr>
  <dimension ref="A1:M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7" customWidth="1"/>
    <col min="2" max="2" width="32" customWidth="1"/>
    <col min="3" max="3" width="28" customWidth="1"/>
    <col min="4" max="4" width="24" customWidth="1"/>
    <col min="5" max="5" width="28" customWidth="1"/>
    <col min="6" max="6" width="24" customWidth="1"/>
    <col min="7" max="7" width="14" customWidth="1"/>
    <col min="8" max="8" width="10" customWidth="1"/>
    <col min="9" max="9" width="34" customWidth="1"/>
    <col min="10" max="10" width="8" customWidth="1"/>
    <col min="11" max="12" width="14" customWidth="1"/>
    <col min="13" max="13" width="42" customWidth="1"/>
  </cols>
  <sheetData>
    <row r="1" spans="1:13" ht="27.75" customHeight="1" x14ac:dyDescent="0.2">
      <c r="A1" s="32" t="s">
        <v>502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18" customHeight="1" x14ac:dyDescent="0.2">
      <c r="A2" s="27" t="s">
        <v>503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6"/>
    </row>
    <row r="3" spans="1:13" ht="27.75" customHeight="1" x14ac:dyDescent="0.2">
      <c r="A3" s="1" t="s">
        <v>2</v>
      </c>
      <c r="B3" s="1" t="s">
        <v>139</v>
      </c>
      <c r="C3" s="1" t="s">
        <v>140</v>
      </c>
      <c r="D3" s="1" t="s">
        <v>141</v>
      </c>
      <c r="E3" s="1" t="s">
        <v>142</v>
      </c>
      <c r="F3" s="1" t="s">
        <v>143</v>
      </c>
      <c r="G3" s="1" t="s">
        <v>144</v>
      </c>
      <c r="H3" s="1" t="s">
        <v>145</v>
      </c>
      <c r="I3" s="1" t="s">
        <v>146</v>
      </c>
      <c r="J3" s="1" t="s">
        <v>147</v>
      </c>
      <c r="K3" s="1" t="s">
        <v>148</v>
      </c>
      <c r="L3" s="1" t="s">
        <v>149</v>
      </c>
      <c r="M3" s="1" t="s">
        <v>150</v>
      </c>
    </row>
    <row r="4" spans="1:13" ht="18" customHeight="1" x14ac:dyDescent="0.2">
      <c r="A4" s="11" t="s">
        <v>504</v>
      </c>
      <c r="B4" s="11" t="s">
        <v>172</v>
      </c>
      <c r="C4" s="11" t="s">
        <v>10</v>
      </c>
      <c r="D4" s="11" t="str">
        <f>IFERROR(IF('IP Input Sheet'!D5&lt;&gt;"",'IP Input Sheet'!D5,IF('IP Input Sheet'!E5&lt;&gt;"",'IP Input Sheet'!E5,'IP Input Sheet'!F5)),"[Enter IP]")</f>
        <v>10.3.118.28</v>
      </c>
      <c r="E4" s="11" t="s">
        <v>116</v>
      </c>
      <c r="F4" s="11" t="str">
        <f>'IP Input Sheet'!D24</f>
        <v>10.3.111.122</v>
      </c>
      <c r="G4" s="11" t="s">
        <v>173</v>
      </c>
      <c r="H4" s="11" t="s">
        <v>174</v>
      </c>
      <c r="I4" s="11" t="s">
        <v>175</v>
      </c>
      <c r="J4" s="12" t="s">
        <v>156</v>
      </c>
      <c r="K4" s="13" t="s">
        <v>157</v>
      </c>
      <c r="L4" s="11" t="s">
        <v>163</v>
      </c>
      <c r="M4" s="11" t="s">
        <v>176</v>
      </c>
    </row>
    <row r="5" spans="1:13" ht="18" customHeight="1" x14ac:dyDescent="0.2">
      <c r="A5" s="14" t="s">
        <v>505</v>
      </c>
      <c r="B5" s="14" t="s">
        <v>178</v>
      </c>
      <c r="C5" s="14" t="s">
        <v>10</v>
      </c>
      <c r="D5" s="14" t="str">
        <f>IFERROR(IF('IP Input Sheet'!D5&lt;&gt;"",'IP Input Sheet'!D5,IF('IP Input Sheet'!E5&lt;&gt;"",'IP Input Sheet'!E5,'IP Input Sheet'!F5)),"[Enter IP]")</f>
        <v>10.3.118.28</v>
      </c>
      <c r="E5" s="14" t="s">
        <v>120</v>
      </c>
      <c r="F5" s="14" t="str">
        <f>'IP Input Sheet'!D25</f>
        <v>10.3.111.133</v>
      </c>
      <c r="G5" s="14" t="s">
        <v>179</v>
      </c>
      <c r="H5" s="14" t="s">
        <v>180</v>
      </c>
      <c r="I5" s="14" t="s">
        <v>506</v>
      </c>
      <c r="J5" s="12" t="s">
        <v>156</v>
      </c>
      <c r="K5" s="13" t="s">
        <v>157</v>
      </c>
      <c r="L5" s="14" t="s">
        <v>158</v>
      </c>
      <c r="M5" s="14"/>
    </row>
    <row r="6" spans="1:13" ht="18" customHeight="1" x14ac:dyDescent="0.2">
      <c r="A6" s="11" t="s">
        <v>507</v>
      </c>
      <c r="B6" s="11" t="s">
        <v>508</v>
      </c>
      <c r="C6" s="11" t="s">
        <v>15</v>
      </c>
      <c r="D6" s="11" t="str">
        <f>IFERROR(IF('IP Input Sheet'!D6&lt;&gt;"",'IP Input Sheet'!D6,IF('IP Input Sheet'!E6&lt;&gt;"",'IP Input Sheet'!E6,'IP Input Sheet'!F6)),"[Enter IP]")</f>
        <v>10.5.25.64/26</v>
      </c>
      <c r="E6" s="11" t="s">
        <v>116</v>
      </c>
      <c r="F6" s="11" t="str">
        <f>'IP Input Sheet'!D24</f>
        <v>10.3.111.122</v>
      </c>
      <c r="G6" s="11" t="s">
        <v>173</v>
      </c>
      <c r="H6" s="11" t="s">
        <v>174</v>
      </c>
      <c r="I6" s="11" t="s">
        <v>509</v>
      </c>
      <c r="J6" s="12" t="s">
        <v>156</v>
      </c>
      <c r="K6" s="13" t="s">
        <v>157</v>
      </c>
      <c r="L6" s="11" t="s">
        <v>158</v>
      </c>
      <c r="M6" s="11" t="s">
        <v>510</v>
      </c>
    </row>
    <row r="7" spans="1:13" ht="18" customHeight="1" x14ac:dyDescent="0.2">
      <c r="A7" s="14" t="s">
        <v>511</v>
      </c>
      <c r="B7" s="14" t="s">
        <v>512</v>
      </c>
      <c r="C7" s="14" t="s">
        <v>15</v>
      </c>
      <c r="D7" s="14" t="str">
        <f>IFERROR(IF('IP Input Sheet'!D6&lt;&gt;"",'IP Input Sheet'!D6,IF('IP Input Sheet'!E6&lt;&gt;"",'IP Input Sheet'!E6,'IP Input Sheet'!F6)),"[Enter IP]")</f>
        <v>10.5.25.64/26</v>
      </c>
      <c r="E7" s="14" t="s">
        <v>120</v>
      </c>
      <c r="F7" s="14" t="str">
        <f>'IP Input Sheet'!D25</f>
        <v>10.3.111.133</v>
      </c>
      <c r="G7" s="14" t="s">
        <v>179</v>
      </c>
      <c r="H7" s="14" t="s">
        <v>180</v>
      </c>
      <c r="I7" s="14" t="s">
        <v>506</v>
      </c>
      <c r="J7" s="12" t="s">
        <v>156</v>
      </c>
      <c r="K7" s="13" t="s">
        <v>157</v>
      </c>
      <c r="L7" s="14" t="s">
        <v>158</v>
      </c>
      <c r="M7" s="14"/>
    </row>
    <row r="8" spans="1:13" ht="18" customHeight="1" x14ac:dyDescent="0.2">
      <c r="A8" s="11" t="s">
        <v>513</v>
      </c>
      <c r="B8" s="11" t="s">
        <v>514</v>
      </c>
      <c r="C8" s="11" t="s">
        <v>15</v>
      </c>
      <c r="D8" s="11" t="str">
        <f>IFERROR(IF('IP Input Sheet'!D6&lt;&gt;"",'IP Input Sheet'!D6,IF('IP Input Sheet'!E6&lt;&gt;"",'IP Input Sheet'!E6,'IP Input Sheet'!F6)),"[Enter IP]")</f>
        <v>10.5.25.64/26</v>
      </c>
      <c r="E8" s="11" t="s">
        <v>224</v>
      </c>
      <c r="F8" s="11" t="str">
        <f>'IP Input Sheet'!D26</f>
        <v>10.3.111.153</v>
      </c>
      <c r="G8" s="11" t="s">
        <v>225</v>
      </c>
      <c r="H8" s="11" t="s">
        <v>154</v>
      </c>
      <c r="I8" s="11" t="s">
        <v>226</v>
      </c>
      <c r="J8" s="12" t="s">
        <v>156</v>
      </c>
      <c r="K8" s="13" t="s">
        <v>157</v>
      </c>
      <c r="L8" s="11" t="s">
        <v>158</v>
      </c>
      <c r="M8" s="11"/>
    </row>
    <row r="9" spans="1:13" ht="18" customHeight="1" x14ac:dyDescent="0.2">
      <c r="A9" s="14" t="s">
        <v>515</v>
      </c>
      <c r="B9" s="14" t="s">
        <v>516</v>
      </c>
      <c r="C9" s="14" t="s">
        <v>15</v>
      </c>
      <c r="D9" s="14" t="str">
        <f>IFERROR(IF('IP Input Sheet'!D6&lt;&gt;"",'IP Input Sheet'!D6,IF('IP Input Sheet'!E6&lt;&gt;"",'IP Input Sheet'!E6,'IP Input Sheet'!F6)),"[Enter IP]")</f>
        <v>10.5.25.64/26</v>
      </c>
      <c r="E9" s="14" t="s">
        <v>224</v>
      </c>
      <c r="F9" s="14" t="str">
        <f>'IP Input Sheet'!D26</f>
        <v>10.3.111.153</v>
      </c>
      <c r="G9" s="14" t="s">
        <v>229</v>
      </c>
      <c r="H9" s="14" t="s">
        <v>154</v>
      </c>
      <c r="I9" s="14" t="s">
        <v>517</v>
      </c>
      <c r="J9" s="12" t="s">
        <v>156</v>
      </c>
      <c r="K9" s="13" t="s">
        <v>157</v>
      </c>
      <c r="L9" s="14" t="s">
        <v>158</v>
      </c>
      <c r="M9" s="14"/>
    </row>
    <row r="10" spans="1:13" ht="18" customHeight="1" x14ac:dyDescent="0.2">
      <c r="A10" s="11" t="s">
        <v>518</v>
      </c>
      <c r="B10" s="11" t="s">
        <v>519</v>
      </c>
      <c r="C10" s="11" t="s">
        <v>15</v>
      </c>
      <c r="D10" s="11" t="str">
        <f>IFERROR(IF('IP Input Sheet'!D6&lt;&gt;"",'IP Input Sheet'!D6,IF('IP Input Sheet'!E6&lt;&gt;"",'IP Input Sheet'!E6,'IP Input Sheet'!F6)),"[Enter IP]")</f>
        <v>10.5.25.64/26</v>
      </c>
      <c r="E10" s="11" t="s">
        <v>224</v>
      </c>
      <c r="F10" s="11" t="str">
        <f>'IP Input Sheet'!D26</f>
        <v>10.3.111.153</v>
      </c>
      <c r="G10" s="11" t="s">
        <v>233</v>
      </c>
      <c r="H10" s="11" t="s">
        <v>154</v>
      </c>
      <c r="I10" s="11" t="s">
        <v>520</v>
      </c>
      <c r="J10" s="12" t="s">
        <v>156</v>
      </c>
      <c r="K10" s="13" t="s">
        <v>157</v>
      </c>
      <c r="L10" s="11" t="s">
        <v>158</v>
      </c>
      <c r="M10" s="11"/>
    </row>
    <row r="11" spans="1:13" ht="18" customHeight="1" x14ac:dyDescent="0.2">
      <c r="A11" s="14" t="s">
        <v>521</v>
      </c>
      <c r="B11" s="14" t="s">
        <v>522</v>
      </c>
      <c r="C11" s="14" t="s">
        <v>15</v>
      </c>
      <c r="D11" s="14" t="str">
        <f>IFERROR(IF('IP Input Sheet'!D6&lt;&gt;"",'IP Input Sheet'!D6,IF('IP Input Sheet'!E6&lt;&gt;"",'IP Input Sheet'!E6,'IP Input Sheet'!F6)),"[Enter IP]")</f>
        <v>10.5.25.64/26</v>
      </c>
      <c r="E11" s="14" t="s">
        <v>237</v>
      </c>
      <c r="F11" s="14" t="str">
        <f>'IP Input Sheet'!D28</f>
        <v>10.3.111.154</v>
      </c>
      <c r="G11" s="14" t="s">
        <v>189</v>
      </c>
      <c r="H11" s="14" t="s">
        <v>154</v>
      </c>
      <c r="I11" s="14" t="s">
        <v>523</v>
      </c>
      <c r="J11" s="12" t="s">
        <v>156</v>
      </c>
      <c r="K11" s="13" t="s">
        <v>157</v>
      </c>
      <c r="L11" s="14" t="s">
        <v>158</v>
      </c>
      <c r="M11" s="14" t="s">
        <v>524</v>
      </c>
    </row>
    <row r="12" spans="1:13" ht="18" customHeight="1" x14ac:dyDescent="0.2">
      <c r="A12" s="11" t="s">
        <v>525</v>
      </c>
      <c r="B12" s="11" t="s">
        <v>526</v>
      </c>
      <c r="C12" s="11" t="s">
        <v>28</v>
      </c>
      <c r="D12" s="11" t="str">
        <f>IFERROR(IF('IP Input Sheet'!D10&lt;&gt;"",'IP Input Sheet'!D10,IF('IP Input Sheet'!E10&lt;&gt;"",'IP Input Sheet'!E10,'IP Input Sheet'!F10)),"[Enter IP]")</f>
        <v>10.3.118.0/24</v>
      </c>
      <c r="E12" s="11" t="s">
        <v>224</v>
      </c>
      <c r="F12" s="11" t="str">
        <f>'IP Input Sheet'!D26</f>
        <v>10.3.111.153</v>
      </c>
      <c r="G12" s="11" t="s">
        <v>225</v>
      </c>
      <c r="H12" s="11" t="s">
        <v>174</v>
      </c>
      <c r="I12" s="11" t="s">
        <v>527</v>
      </c>
      <c r="J12" s="12" t="s">
        <v>156</v>
      </c>
      <c r="K12" s="13" t="s">
        <v>157</v>
      </c>
      <c r="L12" s="11" t="s">
        <v>158</v>
      </c>
      <c r="M12" s="11" t="s">
        <v>528</v>
      </c>
    </row>
    <row r="13" spans="1:13" ht="18" customHeight="1" x14ac:dyDescent="0.2">
      <c r="A13" s="14" t="s">
        <v>529</v>
      </c>
      <c r="B13" s="14" t="s">
        <v>530</v>
      </c>
      <c r="C13" s="14" t="s">
        <v>28</v>
      </c>
      <c r="D13" s="14" t="str">
        <f>IFERROR(IF('IP Input Sheet'!D10&lt;&gt;"",'IP Input Sheet'!D10,IF('IP Input Sheet'!E10&lt;&gt;"",'IP Input Sheet'!E10,'IP Input Sheet'!F10)),"[Enter IP]")</f>
        <v>10.3.118.0/24</v>
      </c>
      <c r="E13" s="14" t="s">
        <v>224</v>
      </c>
      <c r="F13" s="14" t="str">
        <f>'IP Input Sheet'!D26</f>
        <v>10.3.111.153</v>
      </c>
      <c r="G13" s="14" t="s">
        <v>229</v>
      </c>
      <c r="H13" s="14" t="s">
        <v>154</v>
      </c>
      <c r="I13" s="14" t="s">
        <v>517</v>
      </c>
      <c r="J13" s="12" t="s">
        <v>156</v>
      </c>
      <c r="K13" s="13" t="s">
        <v>157</v>
      </c>
      <c r="L13" s="14" t="s">
        <v>158</v>
      </c>
      <c r="M13" s="14"/>
    </row>
    <row r="14" spans="1:13" ht="18" customHeight="1" x14ac:dyDescent="0.2">
      <c r="A14" s="11" t="s">
        <v>531</v>
      </c>
      <c r="B14" s="11" t="s">
        <v>532</v>
      </c>
      <c r="C14" s="11" t="s">
        <v>28</v>
      </c>
      <c r="D14" s="11" t="str">
        <f>IFERROR(IF('IP Input Sheet'!D10&lt;&gt;"",'IP Input Sheet'!D10,IF('IP Input Sheet'!E10&lt;&gt;"",'IP Input Sheet'!E10,'IP Input Sheet'!F10)),"[Enter IP]")</f>
        <v>10.3.118.0/24</v>
      </c>
      <c r="E14" s="11" t="s">
        <v>533</v>
      </c>
      <c r="F14" s="11" t="s">
        <v>534</v>
      </c>
      <c r="G14" s="11" t="s">
        <v>153</v>
      </c>
      <c r="H14" s="11" t="s">
        <v>154</v>
      </c>
      <c r="I14" s="11" t="s">
        <v>535</v>
      </c>
      <c r="J14" s="12" t="s">
        <v>156</v>
      </c>
      <c r="K14" s="13" t="s">
        <v>157</v>
      </c>
      <c r="L14" s="11" t="s">
        <v>158</v>
      </c>
      <c r="M14" s="11" t="s">
        <v>536</v>
      </c>
    </row>
    <row r="15" spans="1:13" ht="18" customHeight="1" x14ac:dyDescent="0.2">
      <c r="A15" s="14" t="s">
        <v>537</v>
      </c>
      <c r="B15" s="14" t="s">
        <v>538</v>
      </c>
      <c r="C15" s="14" t="s">
        <v>28</v>
      </c>
      <c r="D15" s="14" t="str">
        <f>IFERROR(IF('IP Input Sheet'!D10&lt;&gt;"",'IP Input Sheet'!D10,IF('IP Input Sheet'!E10&lt;&gt;"",'IP Input Sheet'!E10,'IP Input Sheet'!F10)),"[Enter IP]")</f>
        <v>10.3.118.0/24</v>
      </c>
      <c r="E15" s="14" t="s">
        <v>116</v>
      </c>
      <c r="F15" s="14" t="str">
        <f>'IP Input Sheet'!D24</f>
        <v>10.3.111.122</v>
      </c>
      <c r="G15" s="14" t="s">
        <v>173</v>
      </c>
      <c r="H15" s="14" t="s">
        <v>174</v>
      </c>
      <c r="I15" s="14" t="s">
        <v>539</v>
      </c>
      <c r="J15" s="12" t="s">
        <v>156</v>
      </c>
      <c r="K15" s="13" t="s">
        <v>157</v>
      </c>
      <c r="L15" s="14" t="s">
        <v>158</v>
      </c>
      <c r="M15" s="14"/>
    </row>
    <row r="16" spans="1:13" ht="18" customHeight="1" x14ac:dyDescent="0.2">
      <c r="A16" s="11" t="s">
        <v>540</v>
      </c>
      <c r="B16" s="11" t="s">
        <v>541</v>
      </c>
      <c r="C16" s="11" t="s">
        <v>28</v>
      </c>
      <c r="D16" s="11" t="str">
        <f>IFERROR(IF('IP Input Sheet'!D10&lt;&gt;"",'IP Input Sheet'!D10,IF('IP Input Sheet'!E10&lt;&gt;"",'IP Input Sheet'!E10,'IP Input Sheet'!F10)),"[Enter IP]")</f>
        <v>10.3.118.0/24</v>
      </c>
      <c r="E16" s="11" t="s">
        <v>120</v>
      </c>
      <c r="F16" s="11" t="str">
        <f>'IP Input Sheet'!D25</f>
        <v>10.3.111.133</v>
      </c>
      <c r="G16" s="11" t="s">
        <v>179</v>
      </c>
      <c r="H16" s="11" t="s">
        <v>180</v>
      </c>
      <c r="I16" s="11" t="s">
        <v>506</v>
      </c>
      <c r="J16" s="12" t="s">
        <v>156</v>
      </c>
      <c r="K16" s="13" t="s">
        <v>157</v>
      </c>
      <c r="L16" s="11" t="s">
        <v>158</v>
      </c>
      <c r="M16" s="11"/>
    </row>
    <row r="17" spans="1:13" ht="18" customHeight="1" x14ac:dyDescent="0.2">
      <c r="A17" s="14" t="s">
        <v>542</v>
      </c>
      <c r="B17" s="14" t="s">
        <v>543</v>
      </c>
      <c r="C17" s="14" t="s">
        <v>28</v>
      </c>
      <c r="D17" s="14" t="str">
        <f>IFERROR(IF('IP Input Sheet'!D10&lt;&gt;"",'IP Input Sheet'!D10,IF('IP Input Sheet'!E10&lt;&gt;"",'IP Input Sheet'!E10,'IP Input Sheet'!F10)),"[Enter IP]")</f>
        <v>10.3.118.0/24</v>
      </c>
      <c r="E17" s="14" t="s">
        <v>237</v>
      </c>
      <c r="F17" s="14" t="str">
        <f>'IP Input Sheet'!D28</f>
        <v>10.3.111.154</v>
      </c>
      <c r="G17" s="14" t="s">
        <v>189</v>
      </c>
      <c r="H17" s="14" t="s">
        <v>154</v>
      </c>
      <c r="I17" s="14" t="s">
        <v>544</v>
      </c>
      <c r="J17" s="12" t="s">
        <v>156</v>
      </c>
      <c r="K17" s="13" t="s">
        <v>157</v>
      </c>
      <c r="L17" s="14" t="s">
        <v>158</v>
      </c>
      <c r="M17" s="14"/>
    </row>
    <row r="18" spans="1:13" ht="18" customHeight="1" x14ac:dyDescent="0.2">
      <c r="A18" s="11" t="s">
        <v>545</v>
      </c>
      <c r="B18" s="11" t="s">
        <v>546</v>
      </c>
      <c r="C18" s="11" t="s">
        <v>28</v>
      </c>
      <c r="D18" s="11" t="str">
        <f>IFERROR(IF('IP Input Sheet'!D10&lt;&gt;"",'IP Input Sheet'!D10,IF('IP Input Sheet'!E10&lt;&gt;"",'IP Input Sheet'!E10,'IP Input Sheet'!F10)),"[Enter IP]")</f>
        <v>10.3.118.0/24</v>
      </c>
      <c r="E18" s="11" t="s">
        <v>126</v>
      </c>
      <c r="F18" s="11" t="str">
        <f>'IP Input Sheet'!D27</f>
        <v>10.3.111.134</v>
      </c>
      <c r="G18" s="11" t="s">
        <v>153</v>
      </c>
      <c r="H18" s="11" t="s">
        <v>154</v>
      </c>
      <c r="I18" s="11" t="s">
        <v>547</v>
      </c>
      <c r="J18" s="12" t="s">
        <v>156</v>
      </c>
      <c r="K18" s="13" t="s">
        <v>157</v>
      </c>
      <c r="L18" s="11" t="s">
        <v>158</v>
      </c>
      <c r="M18" s="11"/>
    </row>
    <row r="19" spans="1:13" ht="18" customHeight="1" x14ac:dyDescent="0.2">
      <c r="A19" s="14" t="s">
        <v>548</v>
      </c>
      <c r="B19" s="14" t="s">
        <v>549</v>
      </c>
      <c r="C19" s="14" t="s">
        <v>485</v>
      </c>
      <c r="D19" s="14" t="s">
        <v>550</v>
      </c>
      <c r="E19" s="14" t="s">
        <v>551</v>
      </c>
      <c r="F19" s="14" t="s">
        <v>534</v>
      </c>
      <c r="G19" s="14" t="s">
        <v>487</v>
      </c>
      <c r="H19" s="14" t="s">
        <v>487</v>
      </c>
      <c r="I19" s="14" t="s">
        <v>552</v>
      </c>
      <c r="J19" s="12" t="s">
        <v>156</v>
      </c>
      <c r="K19" s="13" t="s">
        <v>157</v>
      </c>
      <c r="L19" s="14" t="s">
        <v>163</v>
      </c>
      <c r="M19" s="14" t="s">
        <v>553</v>
      </c>
    </row>
    <row r="21" spans="1:13" ht="15.75" customHeight="1" x14ac:dyDescent="0.2"/>
    <row r="22" spans="1:13" ht="15.75" customHeight="1" x14ac:dyDescent="0.2"/>
    <row r="23" spans="1:13" ht="15.75" customHeight="1" x14ac:dyDescent="0.2"/>
    <row r="24" spans="1:13" ht="15.75" customHeight="1" x14ac:dyDescent="0.2"/>
    <row r="25" spans="1:13" ht="15.75" customHeight="1" x14ac:dyDescent="0.2"/>
    <row r="26" spans="1:13" ht="15.75" customHeight="1" x14ac:dyDescent="0.2"/>
    <row r="27" spans="1:13" ht="15.75" customHeight="1" x14ac:dyDescent="0.2"/>
    <row r="28" spans="1:13" ht="15.75" customHeight="1" x14ac:dyDescent="0.2"/>
    <row r="29" spans="1:13" ht="15.75" customHeight="1" x14ac:dyDescent="0.2"/>
    <row r="30" spans="1:13" ht="15.75" customHeight="1" x14ac:dyDescent="0.2"/>
    <row r="31" spans="1:13" ht="15.75" customHeight="1" x14ac:dyDescent="0.2"/>
    <row r="32" spans="1:13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M1"/>
    <mergeCell ref="A2:M2"/>
  </mergeCells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7030A0"/>
  </sheetPr>
  <dimension ref="A1:I1000"/>
  <sheetViews>
    <sheetView workbookViewId="0">
      <pane ySplit="3" topLeftCell="A4" activePane="bottomLeft" state="frozen"/>
      <selection pane="bottomLeft" activeCell="B5" sqref="B5"/>
    </sheetView>
  </sheetViews>
  <sheetFormatPr baseColWidth="10" defaultColWidth="14.5" defaultRowHeight="15" customHeight="1" x14ac:dyDescent="0.2"/>
  <cols>
    <col min="1" max="1" width="7" customWidth="1"/>
    <col min="2" max="2" width="30" customWidth="1"/>
    <col min="3" max="3" width="24" customWidth="1"/>
    <col min="4" max="4" width="26" customWidth="1"/>
    <col min="5" max="5" width="22" customWidth="1"/>
    <col min="6" max="6" width="16" customWidth="1"/>
    <col min="7" max="7" width="28" customWidth="1"/>
    <col min="8" max="8" width="12" customWidth="1"/>
    <col min="9" max="9" width="40" customWidth="1"/>
  </cols>
  <sheetData>
    <row r="1" spans="1:9" ht="27.75" customHeight="1" x14ac:dyDescent="0.2">
      <c r="A1" s="32" t="s">
        <v>554</v>
      </c>
      <c r="B1" s="25"/>
      <c r="C1" s="25"/>
      <c r="D1" s="25"/>
      <c r="E1" s="25"/>
      <c r="F1" s="25"/>
      <c r="G1" s="25"/>
      <c r="H1" s="25"/>
      <c r="I1" s="26"/>
    </row>
    <row r="2" spans="1:9" ht="18" customHeight="1" x14ac:dyDescent="0.2">
      <c r="A2" s="27" t="s">
        <v>555</v>
      </c>
      <c r="B2" s="25"/>
      <c r="C2" s="25"/>
      <c r="D2" s="25"/>
      <c r="E2" s="25"/>
      <c r="F2" s="25"/>
      <c r="G2" s="25"/>
      <c r="H2" s="25"/>
      <c r="I2" s="26"/>
    </row>
    <row r="3" spans="1:9" ht="25.5" customHeight="1" x14ac:dyDescent="0.2">
      <c r="A3" s="1" t="s">
        <v>2</v>
      </c>
      <c r="B3" s="1" t="s">
        <v>556</v>
      </c>
      <c r="C3" s="1" t="s">
        <v>557</v>
      </c>
      <c r="D3" s="1" t="s">
        <v>558</v>
      </c>
      <c r="E3" s="1" t="s">
        <v>559</v>
      </c>
      <c r="F3" s="1" t="s">
        <v>560</v>
      </c>
      <c r="G3" s="1" t="s">
        <v>140</v>
      </c>
      <c r="H3" s="1" t="s">
        <v>561</v>
      </c>
      <c r="I3" s="1" t="s">
        <v>150</v>
      </c>
    </row>
    <row r="4" spans="1:9" ht="18" customHeight="1" x14ac:dyDescent="0.2">
      <c r="A4" s="11" t="s">
        <v>562</v>
      </c>
      <c r="B4" s="11" t="s">
        <v>563</v>
      </c>
      <c r="C4" s="11" t="str">
        <f>'IP Input Sheet'!D11</f>
        <v>10.5.25.64/26</v>
      </c>
      <c r="D4" s="11" t="s">
        <v>564</v>
      </c>
      <c r="E4" s="11" t="s">
        <v>565</v>
      </c>
      <c r="F4" s="13" t="s">
        <v>566</v>
      </c>
      <c r="G4" s="11" t="s">
        <v>485</v>
      </c>
      <c r="H4" s="11" t="s">
        <v>567</v>
      </c>
      <c r="I4" s="11" t="s">
        <v>568</v>
      </c>
    </row>
    <row r="5" spans="1:9" ht="18" customHeight="1" x14ac:dyDescent="0.2">
      <c r="A5" s="14" t="s">
        <v>569</v>
      </c>
      <c r="B5" s="14" t="s">
        <v>388</v>
      </c>
      <c r="C5" s="14" t="str">
        <f>'IP Input Sheet'!D5</f>
        <v>10.3.118.28</v>
      </c>
      <c r="D5" s="14" t="s">
        <v>564</v>
      </c>
      <c r="E5" s="14" t="s">
        <v>565</v>
      </c>
      <c r="F5" s="13" t="s">
        <v>565</v>
      </c>
      <c r="G5" s="14" t="s">
        <v>10</v>
      </c>
      <c r="H5" s="14" t="s">
        <v>567</v>
      </c>
      <c r="I5" s="14" t="s">
        <v>570</v>
      </c>
    </row>
    <row r="6" spans="1:9" ht="18" customHeight="1" x14ac:dyDescent="0.2">
      <c r="A6" s="11" t="s">
        <v>571</v>
      </c>
      <c r="B6" s="11" t="s">
        <v>15</v>
      </c>
      <c r="C6" s="11" t="str">
        <f>'IP Input Sheet'!D6</f>
        <v>10.5.25.64/26</v>
      </c>
      <c r="D6" s="11" t="s">
        <v>564</v>
      </c>
      <c r="E6" s="11" t="s">
        <v>565</v>
      </c>
      <c r="F6" s="13" t="s">
        <v>565</v>
      </c>
      <c r="G6" s="11" t="s">
        <v>572</v>
      </c>
      <c r="H6" s="11" t="s">
        <v>567</v>
      </c>
      <c r="I6" s="11" t="s">
        <v>573</v>
      </c>
    </row>
    <row r="7" spans="1:9" ht="18" customHeight="1" x14ac:dyDescent="0.2">
      <c r="A7" s="14" t="s">
        <v>574</v>
      </c>
      <c r="B7" s="14" t="s">
        <v>19</v>
      </c>
      <c r="C7" s="14" t="str">
        <f>'IP Input Sheet'!D7</f>
        <v>10.5.25.64/26</v>
      </c>
      <c r="D7" s="14" t="s">
        <v>564</v>
      </c>
      <c r="E7" s="14" t="s">
        <v>565</v>
      </c>
      <c r="F7" s="13" t="s">
        <v>565</v>
      </c>
      <c r="G7" s="14" t="s">
        <v>188</v>
      </c>
      <c r="H7" s="14" t="s">
        <v>567</v>
      </c>
      <c r="I7" s="14" t="s">
        <v>573</v>
      </c>
    </row>
    <row r="8" spans="1:9" ht="18" customHeight="1" x14ac:dyDescent="0.2">
      <c r="A8" s="11" t="s">
        <v>575</v>
      </c>
      <c r="B8" s="11" t="s">
        <v>576</v>
      </c>
      <c r="C8" s="11" t="str">
        <f>'IP Input Sheet'!D8</f>
        <v>10.5.25.64/26</v>
      </c>
      <c r="D8" s="11" t="s">
        <v>564</v>
      </c>
      <c r="E8" s="11" t="s">
        <v>565</v>
      </c>
      <c r="F8" s="13" t="s">
        <v>565</v>
      </c>
      <c r="G8" s="11" t="s">
        <v>403</v>
      </c>
      <c r="H8" s="11" t="s">
        <v>567</v>
      </c>
      <c r="I8" s="11" t="s">
        <v>573</v>
      </c>
    </row>
    <row r="9" spans="1:9" ht="18" customHeight="1" x14ac:dyDescent="0.2">
      <c r="A9" s="14" t="s">
        <v>577</v>
      </c>
      <c r="B9" s="14" t="s">
        <v>279</v>
      </c>
      <c r="C9" s="14" t="str">
        <f>'IP Input Sheet'!D9</f>
        <v>10.5.25.64/26</v>
      </c>
      <c r="D9" s="14" t="s">
        <v>564</v>
      </c>
      <c r="E9" s="14" t="s">
        <v>565</v>
      </c>
      <c r="F9" s="13" t="s">
        <v>565</v>
      </c>
      <c r="G9" s="14" t="s">
        <v>412</v>
      </c>
      <c r="H9" s="14" t="s">
        <v>567</v>
      </c>
      <c r="I9" s="14" t="s">
        <v>573</v>
      </c>
    </row>
    <row r="10" spans="1:9" ht="18" customHeight="1" x14ac:dyDescent="0.2">
      <c r="A10" s="11" t="s">
        <v>578</v>
      </c>
      <c r="B10" s="11" t="s">
        <v>28</v>
      </c>
      <c r="C10" s="11" t="str">
        <f>'IP Input Sheet'!D10</f>
        <v>10.3.118.0/24</v>
      </c>
      <c r="D10" s="11" t="s">
        <v>564</v>
      </c>
      <c r="E10" s="11" t="s">
        <v>565</v>
      </c>
      <c r="F10" s="13" t="s">
        <v>565</v>
      </c>
      <c r="G10" s="11" t="s">
        <v>579</v>
      </c>
      <c r="H10" s="11" t="s">
        <v>567</v>
      </c>
      <c r="I10" s="11" t="s">
        <v>580</v>
      </c>
    </row>
    <row r="11" spans="1:9" ht="18" customHeight="1" x14ac:dyDescent="0.2">
      <c r="A11" s="14" t="s">
        <v>581</v>
      </c>
      <c r="B11" s="14" t="s">
        <v>582</v>
      </c>
      <c r="C11" s="14" t="str">
        <f>'IP Input Sheet'!D13</f>
        <v>10.3.118.18</v>
      </c>
      <c r="D11" s="14" t="s">
        <v>583</v>
      </c>
      <c r="E11" s="14" t="s">
        <v>584</v>
      </c>
      <c r="F11" s="18" t="s">
        <v>585</v>
      </c>
      <c r="G11" s="14" t="s">
        <v>586</v>
      </c>
      <c r="H11" s="14" t="s">
        <v>567</v>
      </c>
      <c r="I11" s="14" t="s">
        <v>587</v>
      </c>
    </row>
    <row r="12" spans="1:9" ht="18" customHeight="1" x14ac:dyDescent="0.2">
      <c r="A12" s="11" t="s">
        <v>588</v>
      </c>
      <c r="B12" s="11" t="s">
        <v>37</v>
      </c>
      <c r="C12" s="11" t="str">
        <f>'IP Input Sheet'!D13</f>
        <v>10.3.118.18</v>
      </c>
      <c r="D12" s="11" t="s">
        <v>583</v>
      </c>
      <c r="E12" s="11" t="s">
        <v>584</v>
      </c>
      <c r="F12" s="11" t="s">
        <v>589</v>
      </c>
      <c r="G12" s="11" t="s">
        <v>37</v>
      </c>
      <c r="H12" s="11" t="s">
        <v>567</v>
      </c>
      <c r="I12" s="11"/>
    </row>
    <row r="13" spans="1:9" ht="18" customHeight="1" x14ac:dyDescent="0.2">
      <c r="A13" s="14" t="s">
        <v>590</v>
      </c>
      <c r="B13" s="14" t="s">
        <v>169</v>
      </c>
      <c r="C13" s="14" t="str">
        <f>'IP Input Sheet'!D14</f>
        <v>10.3.118.0/24</v>
      </c>
      <c r="D13" s="14" t="s">
        <v>583</v>
      </c>
      <c r="E13" s="14" t="s">
        <v>584</v>
      </c>
      <c r="F13" s="14" t="s">
        <v>589</v>
      </c>
      <c r="G13" s="14" t="s">
        <v>169</v>
      </c>
      <c r="H13" s="14" t="s">
        <v>567</v>
      </c>
      <c r="I13" s="14"/>
    </row>
    <row r="14" spans="1:9" ht="18" customHeight="1" x14ac:dyDescent="0.2">
      <c r="A14" s="11" t="s">
        <v>591</v>
      </c>
      <c r="B14" s="11" t="s">
        <v>47</v>
      </c>
      <c r="C14" s="11" t="str">
        <f>'IP Input Sheet'!D16</f>
        <v>10.3.118.30</v>
      </c>
      <c r="D14" s="11" t="s">
        <v>583</v>
      </c>
      <c r="E14" s="11" t="s">
        <v>584</v>
      </c>
      <c r="F14" s="11" t="s">
        <v>589</v>
      </c>
      <c r="G14" s="11" t="s">
        <v>47</v>
      </c>
      <c r="H14" s="11" t="s">
        <v>567</v>
      </c>
      <c r="I14" s="11"/>
    </row>
    <row r="15" spans="1:9" ht="18" customHeight="1" x14ac:dyDescent="0.2">
      <c r="A15" s="14" t="s">
        <v>592</v>
      </c>
      <c r="B15" s="14" t="s">
        <v>593</v>
      </c>
      <c r="C15" s="14">
        <f>'IP Input Sheet'!D20</f>
        <v>0</v>
      </c>
      <c r="D15" s="14" t="s">
        <v>583</v>
      </c>
      <c r="E15" s="14" t="s">
        <v>594</v>
      </c>
      <c r="F15" s="14" t="s">
        <v>589</v>
      </c>
      <c r="G15" s="14" t="s">
        <v>595</v>
      </c>
      <c r="H15" s="14" t="s">
        <v>567</v>
      </c>
      <c r="I15" s="14" t="s">
        <v>596</v>
      </c>
    </row>
    <row r="16" spans="1:9" ht="18" customHeight="1" x14ac:dyDescent="0.2">
      <c r="A16" s="11" t="s">
        <v>597</v>
      </c>
      <c r="B16" s="11" t="s">
        <v>598</v>
      </c>
      <c r="C16" s="11" t="str">
        <f>'IP Input Sheet'!D18</f>
        <v>10.3.118.0/24</v>
      </c>
      <c r="D16" s="11" t="s">
        <v>583</v>
      </c>
      <c r="E16" s="11" t="s">
        <v>599</v>
      </c>
      <c r="F16" s="11" t="s">
        <v>589</v>
      </c>
      <c r="G16" s="11" t="s">
        <v>600</v>
      </c>
      <c r="H16" s="11" t="s">
        <v>567</v>
      </c>
      <c r="I16" s="11" t="s">
        <v>601</v>
      </c>
    </row>
    <row r="17" spans="1:9" ht="18" customHeight="1" x14ac:dyDescent="0.2">
      <c r="A17" s="14" t="s">
        <v>602</v>
      </c>
      <c r="B17" s="14" t="s">
        <v>103</v>
      </c>
      <c r="C17" s="14" t="str">
        <f>'IP Input Sheet'!D21</f>
        <v>10.3.111.101</v>
      </c>
      <c r="D17" s="14" t="s">
        <v>564</v>
      </c>
      <c r="E17" s="14" t="s">
        <v>603</v>
      </c>
      <c r="F17" s="19" t="s">
        <v>604</v>
      </c>
      <c r="G17" s="14" t="s">
        <v>605</v>
      </c>
      <c r="H17" s="14" t="s">
        <v>567</v>
      </c>
      <c r="I17" s="14" t="s">
        <v>606</v>
      </c>
    </row>
    <row r="18" spans="1:9" ht="18" customHeight="1" x14ac:dyDescent="0.2">
      <c r="A18" s="11" t="s">
        <v>607</v>
      </c>
      <c r="B18" s="11" t="s">
        <v>116</v>
      </c>
      <c r="C18" s="11" t="str">
        <f>'IP Input Sheet'!D24</f>
        <v>10.3.111.122</v>
      </c>
      <c r="D18" s="11" t="s">
        <v>608</v>
      </c>
      <c r="E18" s="11" t="s">
        <v>609</v>
      </c>
      <c r="F18" s="11" t="s">
        <v>589</v>
      </c>
      <c r="G18" s="11" t="s">
        <v>610</v>
      </c>
      <c r="H18" s="11" t="s">
        <v>611</v>
      </c>
      <c r="I18" s="11" t="s">
        <v>612</v>
      </c>
    </row>
    <row r="19" spans="1:9" ht="18" customHeight="1" x14ac:dyDescent="0.2">
      <c r="A19" s="14" t="s">
        <v>613</v>
      </c>
      <c r="B19" s="14" t="s">
        <v>120</v>
      </c>
      <c r="C19" s="14" t="str">
        <f>'IP Input Sheet'!D25</f>
        <v>10.3.111.133</v>
      </c>
      <c r="D19" s="14" t="s">
        <v>608</v>
      </c>
      <c r="E19" s="14" t="s">
        <v>609</v>
      </c>
      <c r="F19" s="14" t="s">
        <v>589</v>
      </c>
      <c r="G19" s="14" t="s">
        <v>610</v>
      </c>
      <c r="H19" s="14" t="s">
        <v>611</v>
      </c>
      <c r="I19" s="14"/>
    </row>
    <row r="20" spans="1:9" ht="18" customHeight="1" x14ac:dyDescent="0.2">
      <c r="A20" s="11" t="s">
        <v>614</v>
      </c>
      <c r="B20" s="11" t="s">
        <v>224</v>
      </c>
      <c r="C20" s="11" t="str">
        <f>'IP Input Sheet'!D26</f>
        <v>10.3.111.153</v>
      </c>
      <c r="D20" s="11" t="s">
        <v>608</v>
      </c>
      <c r="E20" s="11" t="s">
        <v>609</v>
      </c>
      <c r="F20" s="11" t="s">
        <v>589</v>
      </c>
      <c r="G20" s="11" t="s">
        <v>615</v>
      </c>
      <c r="H20" s="11" t="s">
        <v>611</v>
      </c>
      <c r="I20" s="11"/>
    </row>
    <row r="21" spans="1:9" ht="18" customHeight="1" x14ac:dyDescent="0.2">
      <c r="A21" s="14" t="s">
        <v>616</v>
      </c>
      <c r="B21" s="14" t="s">
        <v>126</v>
      </c>
      <c r="C21" s="14" t="str">
        <f>'IP Input Sheet'!D27</f>
        <v>10.3.111.134</v>
      </c>
      <c r="D21" s="14" t="s">
        <v>608</v>
      </c>
      <c r="E21" s="14" t="s">
        <v>609</v>
      </c>
      <c r="F21" s="14" t="s">
        <v>589</v>
      </c>
      <c r="G21" s="14" t="s">
        <v>615</v>
      </c>
      <c r="H21" s="14" t="s">
        <v>611</v>
      </c>
      <c r="I21" s="14"/>
    </row>
    <row r="22" spans="1:9" ht="18" customHeight="1" x14ac:dyDescent="0.2">
      <c r="A22" s="11" t="s">
        <v>617</v>
      </c>
      <c r="B22" s="11" t="s">
        <v>129</v>
      </c>
      <c r="C22" s="11" t="str">
        <f>'IP Input Sheet'!D28</f>
        <v>10.3.111.154</v>
      </c>
      <c r="D22" s="11" t="s">
        <v>608</v>
      </c>
      <c r="E22" s="11" t="s">
        <v>609</v>
      </c>
      <c r="F22" s="11" t="s">
        <v>589</v>
      </c>
      <c r="G22" s="11" t="s">
        <v>618</v>
      </c>
      <c r="H22" s="11" t="s">
        <v>611</v>
      </c>
      <c r="I22" s="11"/>
    </row>
    <row r="23" spans="1:9" ht="18" customHeight="1" x14ac:dyDescent="0.2">
      <c r="A23" s="14" t="s">
        <v>619</v>
      </c>
      <c r="B23" s="14" t="s">
        <v>620</v>
      </c>
      <c r="C23" s="14" t="s">
        <v>621</v>
      </c>
      <c r="D23" s="14" t="s">
        <v>622</v>
      </c>
      <c r="E23" s="14" t="s">
        <v>623</v>
      </c>
      <c r="F23" s="18" t="s">
        <v>624</v>
      </c>
      <c r="G23" s="14" t="s">
        <v>625</v>
      </c>
      <c r="H23" s="14" t="s">
        <v>626</v>
      </c>
      <c r="I23" s="14" t="s">
        <v>627</v>
      </c>
    </row>
    <row r="24" spans="1:9" ht="18" customHeight="1" x14ac:dyDescent="0.2">
      <c r="A24" s="11" t="s">
        <v>628</v>
      </c>
      <c r="B24" s="11" t="s">
        <v>629</v>
      </c>
      <c r="C24" s="11" t="s">
        <v>630</v>
      </c>
      <c r="D24" s="11" t="s">
        <v>622</v>
      </c>
      <c r="E24" s="11" t="s">
        <v>631</v>
      </c>
      <c r="F24" s="18" t="s">
        <v>624</v>
      </c>
      <c r="G24" s="11" t="s">
        <v>368</v>
      </c>
      <c r="H24" s="11" t="s">
        <v>626</v>
      </c>
      <c r="I24" s="11" t="s">
        <v>632</v>
      </c>
    </row>
    <row r="25" spans="1:9" ht="18" customHeight="1" x14ac:dyDescent="0.2">
      <c r="A25" s="14" t="s">
        <v>633</v>
      </c>
      <c r="B25" s="14" t="s">
        <v>634</v>
      </c>
      <c r="C25" s="14" t="s">
        <v>635</v>
      </c>
      <c r="D25" s="14" t="s">
        <v>636</v>
      </c>
      <c r="E25" s="14" t="s">
        <v>637</v>
      </c>
      <c r="F25" s="18" t="s">
        <v>624</v>
      </c>
      <c r="G25" s="14" t="s">
        <v>638</v>
      </c>
      <c r="H25" s="14" t="s">
        <v>611</v>
      </c>
      <c r="I25" s="14" t="s">
        <v>639</v>
      </c>
    </row>
    <row r="26" spans="1:9" ht="18" customHeight="1" x14ac:dyDescent="0.2">
      <c r="A26" s="11" t="s">
        <v>640</v>
      </c>
      <c r="B26" s="11" t="s">
        <v>636</v>
      </c>
      <c r="C26" s="11" t="s">
        <v>641</v>
      </c>
      <c r="D26" s="11" t="s">
        <v>642</v>
      </c>
      <c r="E26" s="11" t="s">
        <v>643</v>
      </c>
      <c r="F26" s="19" t="s">
        <v>644</v>
      </c>
      <c r="G26" s="11" t="s">
        <v>645</v>
      </c>
      <c r="H26" s="11" t="s">
        <v>611</v>
      </c>
      <c r="I26" s="11" t="s">
        <v>646</v>
      </c>
    </row>
    <row r="27" spans="1:9" ht="18" customHeight="1" x14ac:dyDescent="0.2">
      <c r="A27" s="14" t="s">
        <v>597</v>
      </c>
      <c r="B27" s="14" t="s">
        <v>305</v>
      </c>
      <c r="C27" s="14" t="str">
        <f>IFERROR(IF('IP Input Sheet'!D19&lt;&gt;"",'IP Input Sheet'!D19,IF('IP Input Sheet'!E19&lt;&gt;"",'IP Input Sheet'!E19,'IP Input Sheet'!F19)),"[Enter IP]")</f>
        <v>10.3.118.101</v>
      </c>
      <c r="D27" s="14" t="s">
        <v>583</v>
      </c>
      <c r="E27" s="14" t="s">
        <v>584</v>
      </c>
      <c r="F27" s="14" t="s">
        <v>589</v>
      </c>
      <c r="G27" s="14" t="s">
        <v>647</v>
      </c>
      <c r="H27" s="14" t="s">
        <v>648</v>
      </c>
      <c r="I27" s="14" t="s">
        <v>649</v>
      </c>
    </row>
    <row r="28" spans="1:9" ht="18" customHeight="1" x14ac:dyDescent="0.2">
      <c r="A28" s="11" t="s">
        <v>602</v>
      </c>
      <c r="B28" s="11" t="s">
        <v>650</v>
      </c>
      <c r="C28" s="11" t="str">
        <f>'IP Input Sheet'!D21</f>
        <v>10.3.111.101</v>
      </c>
      <c r="D28" s="11" t="s">
        <v>651</v>
      </c>
      <c r="E28" s="11" t="s">
        <v>652</v>
      </c>
      <c r="F28" s="19" t="s">
        <v>653</v>
      </c>
      <c r="G28" s="11" t="s">
        <v>654</v>
      </c>
      <c r="H28" s="11" t="s">
        <v>626</v>
      </c>
      <c r="I28" s="11" t="s">
        <v>655</v>
      </c>
    </row>
    <row r="29" spans="1:9" ht="18" customHeight="1" x14ac:dyDescent="0.2">
      <c r="A29" s="14" t="s">
        <v>607</v>
      </c>
      <c r="B29" s="14" t="s">
        <v>656</v>
      </c>
      <c r="C29" s="14" t="str">
        <f>'IP Input Sheet'!D22</f>
        <v>10.3.111.121</v>
      </c>
      <c r="D29" s="14" t="s">
        <v>651</v>
      </c>
      <c r="E29" s="14" t="s">
        <v>657</v>
      </c>
      <c r="F29" s="19" t="s">
        <v>653</v>
      </c>
      <c r="G29" s="14" t="s">
        <v>658</v>
      </c>
      <c r="H29" s="14" t="s">
        <v>626</v>
      </c>
      <c r="I29" s="14" t="s">
        <v>655</v>
      </c>
    </row>
    <row r="30" spans="1:9" ht="18" customHeight="1" x14ac:dyDescent="0.2">
      <c r="A30" s="11" t="s">
        <v>613</v>
      </c>
      <c r="B30" s="11" t="s">
        <v>659</v>
      </c>
      <c r="C30" s="11" t="str">
        <f>'IP Input Sheet'!D23</f>
        <v>10.3.111.102</v>
      </c>
      <c r="D30" s="11" t="s">
        <v>660</v>
      </c>
      <c r="E30" s="11" t="s">
        <v>661</v>
      </c>
      <c r="F30" s="19" t="s">
        <v>653</v>
      </c>
      <c r="G30" s="11" t="s">
        <v>654</v>
      </c>
      <c r="H30" s="11" t="s">
        <v>626</v>
      </c>
      <c r="I30" s="11" t="s">
        <v>662</v>
      </c>
    </row>
    <row r="31" spans="1:9" ht="18" customHeight="1" x14ac:dyDescent="0.2">
      <c r="A31" s="14" t="s">
        <v>614</v>
      </c>
      <c r="B31" s="14" t="s">
        <v>663</v>
      </c>
      <c r="C31" s="14" t="str">
        <f>'IP Input Sheet'!D24</f>
        <v>10.3.111.122</v>
      </c>
      <c r="D31" s="14" t="s">
        <v>660</v>
      </c>
      <c r="E31" s="14" t="s">
        <v>664</v>
      </c>
      <c r="F31" s="19" t="s">
        <v>653</v>
      </c>
      <c r="G31" s="14" t="s">
        <v>658</v>
      </c>
      <c r="H31" s="14" t="s">
        <v>626</v>
      </c>
      <c r="I31" s="14" t="s">
        <v>662</v>
      </c>
    </row>
    <row r="32" spans="1:9" ht="18" customHeight="1" x14ac:dyDescent="0.2">
      <c r="A32" s="11" t="s">
        <v>616</v>
      </c>
      <c r="B32" s="11" t="s">
        <v>665</v>
      </c>
      <c r="C32" s="11" t="str">
        <f>'IP Input Sheet'!D25</f>
        <v>10.3.111.133</v>
      </c>
      <c r="D32" s="11" t="s">
        <v>622</v>
      </c>
      <c r="E32" s="11" t="s">
        <v>666</v>
      </c>
      <c r="F32" s="18" t="s">
        <v>624</v>
      </c>
      <c r="G32" s="11" t="s">
        <v>368</v>
      </c>
      <c r="H32" s="11" t="s">
        <v>626</v>
      </c>
      <c r="I32" s="11" t="s">
        <v>667</v>
      </c>
    </row>
    <row r="33" spans="1:9" ht="18" customHeight="1" x14ac:dyDescent="0.2">
      <c r="A33" s="14" t="s">
        <v>617</v>
      </c>
      <c r="B33" s="14" t="s">
        <v>668</v>
      </c>
      <c r="C33" s="14" t="str">
        <f>'IP Input Sheet'!D26</f>
        <v>10.3.111.153</v>
      </c>
      <c r="D33" s="14" t="s">
        <v>636</v>
      </c>
      <c r="E33" s="14" t="s">
        <v>669</v>
      </c>
      <c r="F33" s="18" t="s">
        <v>624</v>
      </c>
      <c r="G33" s="14" t="s">
        <v>670</v>
      </c>
      <c r="H33" s="14" t="s">
        <v>611</v>
      </c>
      <c r="I33" s="14" t="s">
        <v>671</v>
      </c>
    </row>
    <row r="34" spans="1:9" ht="18" customHeight="1" x14ac:dyDescent="0.2">
      <c r="A34" s="11" t="s">
        <v>619</v>
      </c>
      <c r="B34" s="11" t="s">
        <v>672</v>
      </c>
      <c r="C34" s="11" t="str">
        <f>'IP Input Sheet'!D27</f>
        <v>10.3.111.134</v>
      </c>
      <c r="D34" s="11" t="s">
        <v>673</v>
      </c>
      <c r="E34" s="11" t="s">
        <v>674</v>
      </c>
      <c r="F34" s="19" t="s">
        <v>644</v>
      </c>
      <c r="G34" s="11" t="s">
        <v>675</v>
      </c>
      <c r="H34" s="11" t="s">
        <v>626</v>
      </c>
      <c r="I34" s="11" t="s">
        <v>676</v>
      </c>
    </row>
    <row r="35" spans="1:9" ht="18" customHeight="1" x14ac:dyDescent="0.2">
      <c r="A35" s="17" t="s">
        <v>677</v>
      </c>
      <c r="B35" s="17" t="s">
        <v>678</v>
      </c>
      <c r="C35" s="17" t="str">
        <f>'IP Input Sheet'!D21</f>
        <v>10.3.111.101</v>
      </c>
      <c r="D35" s="17" t="s">
        <v>679</v>
      </c>
      <c r="E35" s="17" t="s">
        <v>680</v>
      </c>
      <c r="F35" s="20" t="s">
        <v>653</v>
      </c>
      <c r="G35" s="17" t="s">
        <v>681</v>
      </c>
      <c r="H35" s="17" t="s">
        <v>626</v>
      </c>
      <c r="I35" s="17" t="s">
        <v>682</v>
      </c>
    </row>
    <row r="36" spans="1:9" ht="18" customHeight="1" x14ac:dyDescent="0.2">
      <c r="A36" s="15" t="s">
        <v>683</v>
      </c>
      <c r="B36" s="15" t="s">
        <v>684</v>
      </c>
      <c r="C36" s="15" t="str">
        <f>'IP Input Sheet'!D22</f>
        <v>10.3.111.121</v>
      </c>
      <c r="D36" s="15" t="s">
        <v>679</v>
      </c>
      <c r="E36" s="15" t="s">
        <v>685</v>
      </c>
      <c r="F36" s="20" t="s">
        <v>653</v>
      </c>
      <c r="G36" s="15" t="s">
        <v>681</v>
      </c>
      <c r="H36" s="15" t="s">
        <v>626</v>
      </c>
      <c r="I36" s="15" t="s">
        <v>686</v>
      </c>
    </row>
    <row r="37" spans="1:9" ht="18" customHeight="1" x14ac:dyDescent="0.2">
      <c r="A37" s="17" t="s">
        <v>687</v>
      </c>
      <c r="B37" s="17" t="s">
        <v>688</v>
      </c>
      <c r="C37" s="17" t="str">
        <f>'IP Input Sheet'!D23</f>
        <v>10.3.111.102</v>
      </c>
      <c r="D37" s="17" t="s">
        <v>679</v>
      </c>
      <c r="E37" s="17" t="s">
        <v>680</v>
      </c>
      <c r="F37" s="20" t="s">
        <v>653</v>
      </c>
      <c r="G37" s="17" t="s">
        <v>689</v>
      </c>
      <c r="H37" s="17" t="s">
        <v>626</v>
      </c>
      <c r="I37" s="17" t="s">
        <v>690</v>
      </c>
    </row>
    <row r="38" spans="1:9" ht="18" customHeight="1" x14ac:dyDescent="0.2">
      <c r="A38" s="15" t="s">
        <v>691</v>
      </c>
      <c r="B38" s="15" t="s">
        <v>692</v>
      </c>
      <c r="C38" s="15" t="str">
        <f>'IP Input Sheet'!D24</f>
        <v>10.3.111.122</v>
      </c>
      <c r="D38" s="15" t="s">
        <v>679</v>
      </c>
      <c r="E38" s="15" t="s">
        <v>685</v>
      </c>
      <c r="F38" s="20" t="s">
        <v>653</v>
      </c>
      <c r="G38" s="15" t="s">
        <v>689</v>
      </c>
      <c r="H38" s="15" t="s">
        <v>626</v>
      </c>
      <c r="I38" s="15" t="s">
        <v>693</v>
      </c>
    </row>
    <row r="39" spans="1:9" ht="18" customHeight="1" x14ac:dyDescent="0.2">
      <c r="A39" s="17" t="s">
        <v>694</v>
      </c>
      <c r="B39" s="17" t="s">
        <v>695</v>
      </c>
      <c r="C39" s="17" t="str">
        <f>'IP Input Sheet'!D25</f>
        <v>10.3.111.133</v>
      </c>
      <c r="D39" s="17" t="s">
        <v>696</v>
      </c>
      <c r="E39" s="17" t="s">
        <v>697</v>
      </c>
      <c r="F39" s="20" t="s">
        <v>653</v>
      </c>
      <c r="G39" s="17" t="s">
        <v>698</v>
      </c>
      <c r="H39" s="17" t="s">
        <v>626</v>
      </c>
      <c r="I39" s="17" t="s">
        <v>699</v>
      </c>
    </row>
    <row r="40" spans="1:9" ht="18" customHeight="1" x14ac:dyDescent="0.2">
      <c r="A40" s="15" t="s">
        <v>700</v>
      </c>
      <c r="B40" s="15" t="s">
        <v>701</v>
      </c>
      <c r="C40" s="15" t="str">
        <f>'IP Input Sheet'!D26</f>
        <v>10.3.111.153</v>
      </c>
      <c r="D40" s="15" t="s">
        <v>696</v>
      </c>
      <c r="E40" s="15" t="s">
        <v>702</v>
      </c>
      <c r="F40" s="20" t="s">
        <v>653</v>
      </c>
      <c r="G40" s="15" t="s">
        <v>698</v>
      </c>
      <c r="H40" s="15" t="s">
        <v>626</v>
      </c>
      <c r="I40" s="15" t="s">
        <v>703</v>
      </c>
    </row>
    <row r="41" spans="1:9" ht="18" customHeight="1" x14ac:dyDescent="0.2">
      <c r="A41" s="17" t="s">
        <v>704</v>
      </c>
      <c r="B41" s="17" t="s">
        <v>705</v>
      </c>
      <c r="C41" s="17" t="str">
        <f>'IP Input Sheet'!D27</f>
        <v>10.3.111.134</v>
      </c>
      <c r="D41" s="17" t="s">
        <v>696</v>
      </c>
      <c r="E41" s="17" t="s">
        <v>697</v>
      </c>
      <c r="F41" s="20" t="s">
        <v>653</v>
      </c>
      <c r="G41" s="17" t="s">
        <v>706</v>
      </c>
      <c r="H41" s="17" t="s">
        <v>626</v>
      </c>
      <c r="I41" s="17" t="s">
        <v>707</v>
      </c>
    </row>
    <row r="42" spans="1:9" ht="18" customHeight="1" x14ac:dyDescent="0.2">
      <c r="A42" s="15" t="s">
        <v>708</v>
      </c>
      <c r="B42" s="15" t="s">
        <v>709</v>
      </c>
      <c r="C42" s="15" t="str">
        <f>'IP Input Sheet'!D28</f>
        <v>10.3.111.154</v>
      </c>
      <c r="D42" s="15" t="s">
        <v>696</v>
      </c>
      <c r="E42" s="15" t="s">
        <v>702</v>
      </c>
      <c r="F42" s="20" t="s">
        <v>653</v>
      </c>
      <c r="G42" s="15" t="s">
        <v>706</v>
      </c>
      <c r="H42" s="15" t="s">
        <v>626</v>
      </c>
      <c r="I42" s="15" t="s">
        <v>710</v>
      </c>
    </row>
    <row r="43" spans="1:9" ht="18" customHeight="1" x14ac:dyDescent="0.2">
      <c r="A43" s="17" t="s">
        <v>711</v>
      </c>
      <c r="B43" s="17" t="s">
        <v>665</v>
      </c>
      <c r="C43" s="17" t="str">
        <f>'IP Input Sheet'!D29</f>
        <v>10.5.236.0/24</v>
      </c>
      <c r="D43" s="17" t="s">
        <v>622</v>
      </c>
      <c r="E43" s="17" t="s">
        <v>666</v>
      </c>
      <c r="F43" s="21" t="s">
        <v>624</v>
      </c>
      <c r="G43" s="17" t="s">
        <v>368</v>
      </c>
      <c r="H43" s="17" t="s">
        <v>626</v>
      </c>
      <c r="I43" s="17" t="s">
        <v>712</v>
      </c>
    </row>
    <row r="44" spans="1:9" ht="18" customHeight="1" x14ac:dyDescent="0.2">
      <c r="A44" s="15" t="s">
        <v>713</v>
      </c>
      <c r="B44" s="15" t="s">
        <v>714</v>
      </c>
      <c r="C44" s="15" t="str">
        <f>'IP Input Sheet'!D30</f>
        <v>10.5.22.0/24</v>
      </c>
      <c r="D44" s="15" t="s">
        <v>636</v>
      </c>
      <c r="E44" s="15" t="s">
        <v>669</v>
      </c>
      <c r="F44" s="21" t="s">
        <v>624</v>
      </c>
      <c r="G44" s="15" t="s">
        <v>670</v>
      </c>
      <c r="H44" s="15" t="s">
        <v>611</v>
      </c>
      <c r="I44" s="15" t="s">
        <v>715</v>
      </c>
    </row>
    <row r="45" spans="1:9" ht="15.75" customHeight="1" x14ac:dyDescent="0.2"/>
    <row r="46" spans="1:9" ht="15.75" customHeight="1" x14ac:dyDescent="0.2"/>
    <row r="47" spans="1:9" ht="15.75" customHeight="1" x14ac:dyDescent="0.2"/>
    <row r="48" spans="1:9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2">
    <mergeCell ref="A1:I1"/>
    <mergeCell ref="A2:I2"/>
  </mergeCells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04040"/>
  </sheetPr>
  <dimension ref="A1:F1000"/>
  <sheetViews>
    <sheetView workbookViewId="0">
      <pane ySplit="2" topLeftCell="A3" activePane="bottomLeft" state="frozen"/>
      <selection pane="bottomLeft" activeCell="B4" sqref="B4"/>
    </sheetView>
  </sheetViews>
  <sheetFormatPr baseColWidth="10" defaultColWidth="14.5" defaultRowHeight="15" customHeight="1" x14ac:dyDescent="0.2"/>
  <cols>
    <col min="1" max="1" width="12" customWidth="1"/>
    <col min="2" max="2" width="10" customWidth="1"/>
    <col min="3" max="3" width="26" customWidth="1"/>
    <col min="4" max="5" width="36" customWidth="1"/>
    <col min="6" max="6" width="44" customWidth="1"/>
  </cols>
  <sheetData>
    <row r="1" spans="1:6" ht="27.75" customHeight="1" x14ac:dyDescent="0.2">
      <c r="A1" s="32" t="s">
        <v>716</v>
      </c>
      <c r="B1" s="25"/>
      <c r="C1" s="25"/>
      <c r="D1" s="25"/>
      <c r="E1" s="25"/>
      <c r="F1" s="26"/>
    </row>
    <row r="2" spans="1:6" ht="21.75" customHeight="1" x14ac:dyDescent="0.2">
      <c r="A2" s="1" t="s">
        <v>144</v>
      </c>
      <c r="B2" s="1" t="s">
        <v>145</v>
      </c>
      <c r="C2" s="1" t="s">
        <v>717</v>
      </c>
      <c r="D2" s="1" t="s">
        <v>718</v>
      </c>
      <c r="E2" s="1" t="s">
        <v>719</v>
      </c>
      <c r="F2" s="1" t="s">
        <v>150</v>
      </c>
    </row>
    <row r="3" spans="1:6" ht="21.75" customHeight="1" x14ac:dyDescent="0.2">
      <c r="A3" s="22" t="s">
        <v>189</v>
      </c>
      <c r="B3" s="14" t="s">
        <v>154</v>
      </c>
      <c r="C3" s="14" t="s">
        <v>264</v>
      </c>
      <c r="D3" s="14" t="s">
        <v>720</v>
      </c>
      <c r="E3" s="14" t="s">
        <v>721</v>
      </c>
      <c r="F3" s="14" t="s">
        <v>722</v>
      </c>
    </row>
    <row r="4" spans="1:6" ht="21.75" customHeight="1" x14ac:dyDescent="0.2">
      <c r="A4" s="23" t="s">
        <v>723</v>
      </c>
      <c r="B4" s="11" t="s">
        <v>724</v>
      </c>
      <c r="C4" s="11" t="s">
        <v>725</v>
      </c>
      <c r="D4" s="11" t="s">
        <v>579</v>
      </c>
      <c r="E4" s="11" t="s">
        <v>726</v>
      </c>
      <c r="F4" s="11" t="s">
        <v>727</v>
      </c>
    </row>
    <row r="5" spans="1:6" ht="21.75" customHeight="1" x14ac:dyDescent="0.2">
      <c r="A5" s="22" t="s">
        <v>173</v>
      </c>
      <c r="B5" s="14" t="s">
        <v>174</v>
      </c>
      <c r="C5" s="14" t="s">
        <v>509</v>
      </c>
      <c r="D5" s="14" t="s">
        <v>728</v>
      </c>
      <c r="E5" s="14" t="s">
        <v>729</v>
      </c>
      <c r="F5" s="14" t="s">
        <v>730</v>
      </c>
    </row>
    <row r="6" spans="1:6" ht="21.75" customHeight="1" x14ac:dyDescent="0.2">
      <c r="A6" s="23" t="s">
        <v>179</v>
      </c>
      <c r="B6" s="11" t="s">
        <v>180</v>
      </c>
      <c r="C6" s="11" t="s">
        <v>731</v>
      </c>
      <c r="D6" s="11" t="s">
        <v>728</v>
      </c>
      <c r="E6" s="11" t="s">
        <v>732</v>
      </c>
      <c r="F6" s="11" t="s">
        <v>733</v>
      </c>
    </row>
    <row r="7" spans="1:6" ht="21.75" customHeight="1" x14ac:dyDescent="0.2">
      <c r="A7" s="22" t="s">
        <v>300</v>
      </c>
      <c r="B7" s="14" t="s">
        <v>154</v>
      </c>
      <c r="C7" s="14" t="s">
        <v>734</v>
      </c>
      <c r="D7" s="14" t="s">
        <v>279</v>
      </c>
      <c r="E7" s="14" t="s">
        <v>735</v>
      </c>
      <c r="F7" s="14" t="s">
        <v>736</v>
      </c>
    </row>
    <row r="8" spans="1:6" ht="21.75" customHeight="1" x14ac:dyDescent="0.2">
      <c r="A8" s="23" t="s">
        <v>225</v>
      </c>
      <c r="B8" s="11" t="s">
        <v>174</v>
      </c>
      <c r="C8" s="11" t="s">
        <v>737</v>
      </c>
      <c r="D8" s="11" t="s">
        <v>738</v>
      </c>
      <c r="E8" s="11" t="s">
        <v>739</v>
      </c>
      <c r="F8" s="11" t="s">
        <v>740</v>
      </c>
    </row>
    <row r="9" spans="1:6" ht="21.75" customHeight="1" x14ac:dyDescent="0.2">
      <c r="A9" s="22" t="s">
        <v>153</v>
      </c>
      <c r="B9" s="14" t="s">
        <v>154</v>
      </c>
      <c r="C9" s="14" t="s">
        <v>741</v>
      </c>
      <c r="D9" s="14" t="s">
        <v>742</v>
      </c>
      <c r="E9" s="14" t="s">
        <v>742</v>
      </c>
      <c r="F9" s="14" t="s">
        <v>743</v>
      </c>
    </row>
    <row r="10" spans="1:6" ht="21.75" customHeight="1" x14ac:dyDescent="0.2">
      <c r="A10" s="23" t="s">
        <v>404</v>
      </c>
      <c r="B10" s="11" t="s">
        <v>174</v>
      </c>
      <c r="C10" s="11" t="s">
        <v>744</v>
      </c>
      <c r="D10" s="11" t="s">
        <v>745</v>
      </c>
      <c r="E10" s="11" t="s">
        <v>576</v>
      </c>
      <c r="F10" s="11" t="s">
        <v>746</v>
      </c>
    </row>
    <row r="11" spans="1:6" ht="21.75" customHeight="1" x14ac:dyDescent="0.2">
      <c r="A11" s="22" t="s">
        <v>229</v>
      </c>
      <c r="B11" s="14" t="s">
        <v>154</v>
      </c>
      <c r="C11" s="14" t="s">
        <v>747</v>
      </c>
      <c r="D11" s="14" t="s">
        <v>738</v>
      </c>
      <c r="E11" s="14" t="s">
        <v>739</v>
      </c>
      <c r="F11" s="14" t="s">
        <v>517</v>
      </c>
    </row>
    <row r="12" spans="1:6" ht="21.75" customHeight="1" x14ac:dyDescent="0.2">
      <c r="A12" s="23" t="s">
        <v>257</v>
      </c>
      <c r="B12" s="11" t="s">
        <v>154</v>
      </c>
      <c r="C12" s="11" t="s">
        <v>748</v>
      </c>
      <c r="D12" s="11" t="s">
        <v>749</v>
      </c>
      <c r="E12" s="11" t="s">
        <v>750</v>
      </c>
      <c r="F12" s="11" t="s">
        <v>751</v>
      </c>
    </row>
    <row r="13" spans="1:6" ht="21.75" customHeight="1" x14ac:dyDescent="0.2">
      <c r="A13" s="22" t="s">
        <v>408</v>
      </c>
      <c r="B13" s="14" t="s">
        <v>154</v>
      </c>
      <c r="C13" s="14" t="s">
        <v>409</v>
      </c>
      <c r="D13" s="14" t="s">
        <v>752</v>
      </c>
      <c r="E13" s="14" t="s">
        <v>576</v>
      </c>
      <c r="F13" s="14" t="s">
        <v>480</v>
      </c>
    </row>
    <row r="14" spans="1:6" ht="21.75" customHeight="1" x14ac:dyDescent="0.2">
      <c r="A14" s="23" t="s">
        <v>280</v>
      </c>
      <c r="B14" s="11" t="s">
        <v>174</v>
      </c>
      <c r="C14" s="11" t="s">
        <v>753</v>
      </c>
      <c r="D14" s="11" t="s">
        <v>754</v>
      </c>
      <c r="E14" s="11" t="s">
        <v>755</v>
      </c>
      <c r="F14" s="11" t="s">
        <v>756</v>
      </c>
    </row>
    <row r="15" spans="1:6" ht="21.75" customHeight="1" x14ac:dyDescent="0.2">
      <c r="A15" s="22" t="s">
        <v>233</v>
      </c>
      <c r="B15" s="14" t="s">
        <v>154</v>
      </c>
      <c r="C15" s="14" t="s">
        <v>520</v>
      </c>
      <c r="D15" s="14" t="s">
        <v>572</v>
      </c>
      <c r="E15" s="14" t="s">
        <v>739</v>
      </c>
      <c r="F15" s="14" t="s">
        <v>757</v>
      </c>
    </row>
    <row r="16" spans="1:6" ht="21.75" customHeight="1" x14ac:dyDescent="0.2">
      <c r="A16" s="23" t="s">
        <v>285</v>
      </c>
      <c r="B16" s="11" t="s">
        <v>174</v>
      </c>
      <c r="C16" s="11" t="s">
        <v>758</v>
      </c>
      <c r="D16" s="11" t="s">
        <v>759</v>
      </c>
      <c r="E16" s="11" t="s">
        <v>760</v>
      </c>
      <c r="F16" s="11" t="s">
        <v>761</v>
      </c>
    </row>
    <row r="17" spans="1:6" ht="21.75" customHeight="1" x14ac:dyDescent="0.2">
      <c r="A17" s="22" t="s">
        <v>195</v>
      </c>
      <c r="B17" s="14" t="s">
        <v>154</v>
      </c>
      <c r="C17" s="14" t="s">
        <v>762</v>
      </c>
      <c r="D17" s="14" t="s">
        <v>763</v>
      </c>
      <c r="E17" s="14" t="s">
        <v>764</v>
      </c>
      <c r="F17" s="14" t="s">
        <v>765</v>
      </c>
    </row>
    <row r="18" spans="1:6" ht="21.75" customHeight="1" x14ac:dyDescent="0.2">
      <c r="A18" s="23" t="s">
        <v>423</v>
      </c>
      <c r="B18" s="11" t="s">
        <v>154</v>
      </c>
      <c r="C18" s="11" t="s">
        <v>766</v>
      </c>
      <c r="D18" s="11" t="s">
        <v>767</v>
      </c>
      <c r="E18" s="11" t="s">
        <v>768</v>
      </c>
      <c r="F18" s="11" t="s">
        <v>769</v>
      </c>
    </row>
    <row r="19" spans="1:6" ht="21.75" customHeight="1" x14ac:dyDescent="0.2">
      <c r="A19" s="22" t="s">
        <v>214</v>
      </c>
      <c r="B19" s="14" t="s">
        <v>154</v>
      </c>
      <c r="C19" s="14" t="s">
        <v>770</v>
      </c>
      <c r="D19" s="14" t="s">
        <v>388</v>
      </c>
      <c r="E19" s="14" t="s">
        <v>188</v>
      </c>
      <c r="F19" s="14" t="s">
        <v>771</v>
      </c>
    </row>
    <row r="20" spans="1:6" ht="21.75" customHeight="1" x14ac:dyDescent="0.2">
      <c r="A20" s="23" t="s">
        <v>396</v>
      </c>
      <c r="B20" s="11" t="s">
        <v>154</v>
      </c>
      <c r="C20" s="11" t="s">
        <v>397</v>
      </c>
      <c r="D20" s="11" t="s">
        <v>772</v>
      </c>
      <c r="E20" s="11" t="s">
        <v>773</v>
      </c>
      <c r="F20" s="11" t="s">
        <v>774</v>
      </c>
    </row>
    <row r="21" spans="1:6" ht="21.75" customHeight="1" x14ac:dyDescent="0.2">
      <c r="A21" s="22" t="s">
        <v>447</v>
      </c>
      <c r="B21" s="14" t="s">
        <v>154</v>
      </c>
      <c r="C21" s="14" t="s">
        <v>775</v>
      </c>
      <c r="D21" s="14" t="s">
        <v>776</v>
      </c>
      <c r="E21" s="14" t="s">
        <v>768</v>
      </c>
      <c r="F21" s="14" t="s">
        <v>777</v>
      </c>
    </row>
    <row r="22" spans="1:6" ht="21.75" customHeight="1" x14ac:dyDescent="0.2">
      <c r="A22" s="23" t="s">
        <v>778</v>
      </c>
      <c r="B22" s="11" t="s">
        <v>154</v>
      </c>
      <c r="C22" s="11" t="s">
        <v>779</v>
      </c>
      <c r="D22" s="11" t="s">
        <v>780</v>
      </c>
      <c r="E22" s="11" t="s">
        <v>47</v>
      </c>
      <c r="F22" s="11" t="s">
        <v>781</v>
      </c>
    </row>
    <row r="23" spans="1:6" ht="21.75" customHeight="1" x14ac:dyDescent="0.2">
      <c r="A23" s="22" t="s">
        <v>454</v>
      </c>
      <c r="B23" s="14" t="s">
        <v>154</v>
      </c>
      <c r="C23" s="14" t="s">
        <v>782</v>
      </c>
      <c r="D23" s="14" t="s">
        <v>776</v>
      </c>
      <c r="E23" s="14" t="s">
        <v>768</v>
      </c>
      <c r="F23" s="14" t="s">
        <v>783</v>
      </c>
    </row>
    <row r="24" spans="1:6" ht="21.75" customHeight="1" x14ac:dyDescent="0.2">
      <c r="A24" s="23" t="s">
        <v>241</v>
      </c>
      <c r="B24" s="11" t="s">
        <v>154</v>
      </c>
      <c r="C24" s="11" t="s">
        <v>784</v>
      </c>
      <c r="D24" s="11" t="s">
        <v>572</v>
      </c>
      <c r="E24" s="11" t="s">
        <v>37</v>
      </c>
      <c r="F24" s="11" t="s">
        <v>785</v>
      </c>
    </row>
    <row r="25" spans="1:6" ht="21.75" customHeight="1" x14ac:dyDescent="0.2">
      <c r="A25" s="22" t="s">
        <v>211</v>
      </c>
      <c r="B25" s="14" t="s">
        <v>154</v>
      </c>
      <c r="C25" s="14" t="s">
        <v>786</v>
      </c>
      <c r="D25" s="14" t="s">
        <v>787</v>
      </c>
      <c r="E25" s="14" t="s">
        <v>788</v>
      </c>
      <c r="F25" s="14" t="s">
        <v>789</v>
      </c>
    </row>
    <row r="26" spans="1:6" ht="21.75" customHeight="1" x14ac:dyDescent="0.2">
      <c r="A26" s="23" t="s">
        <v>207</v>
      </c>
      <c r="B26" s="11" t="s">
        <v>154</v>
      </c>
      <c r="C26" s="11" t="s">
        <v>786</v>
      </c>
      <c r="D26" s="11" t="s">
        <v>787</v>
      </c>
      <c r="E26" s="11" t="s">
        <v>788</v>
      </c>
      <c r="F26" s="11" t="s">
        <v>789</v>
      </c>
    </row>
    <row r="27" spans="1:6" ht="21.75" customHeight="1" x14ac:dyDescent="0.2">
      <c r="A27" s="22" t="s">
        <v>203</v>
      </c>
      <c r="B27" s="14" t="s">
        <v>154</v>
      </c>
      <c r="C27" s="14" t="s">
        <v>790</v>
      </c>
      <c r="D27" s="14" t="s">
        <v>787</v>
      </c>
      <c r="E27" s="14" t="s">
        <v>788</v>
      </c>
      <c r="F27" s="14" t="s">
        <v>791</v>
      </c>
    </row>
    <row r="28" spans="1:6" ht="21.75" customHeight="1" x14ac:dyDescent="0.2">
      <c r="A28" s="23" t="s">
        <v>199</v>
      </c>
      <c r="B28" s="11" t="s">
        <v>154</v>
      </c>
      <c r="C28" s="11" t="s">
        <v>792</v>
      </c>
      <c r="D28" s="11" t="s">
        <v>787</v>
      </c>
      <c r="E28" s="11" t="s">
        <v>788</v>
      </c>
      <c r="F28" s="11" t="s">
        <v>793</v>
      </c>
    </row>
    <row r="29" spans="1:6" ht="21.75" customHeight="1" x14ac:dyDescent="0.2">
      <c r="A29" s="22" t="s">
        <v>487</v>
      </c>
      <c r="B29" s="14" t="s">
        <v>487</v>
      </c>
      <c r="C29" s="14" t="s">
        <v>794</v>
      </c>
      <c r="D29" s="14" t="s">
        <v>795</v>
      </c>
      <c r="E29" s="14" t="s">
        <v>795</v>
      </c>
      <c r="F29" s="14" t="s">
        <v>796</v>
      </c>
    </row>
    <row r="30" spans="1:6" ht="21.75" customHeight="1" x14ac:dyDescent="0.2">
      <c r="A30" s="23" t="s">
        <v>320</v>
      </c>
      <c r="B30" s="11" t="s">
        <v>154</v>
      </c>
      <c r="C30" s="11" t="s">
        <v>644</v>
      </c>
      <c r="D30" s="11" t="s">
        <v>797</v>
      </c>
      <c r="E30" s="11" t="s">
        <v>798</v>
      </c>
      <c r="F30" s="11" t="s">
        <v>799</v>
      </c>
    </row>
    <row r="31" spans="1:6" ht="21.75" customHeight="1" x14ac:dyDescent="0.2">
      <c r="A31" s="22" t="s">
        <v>800</v>
      </c>
      <c r="B31" s="14" t="s">
        <v>180</v>
      </c>
      <c r="C31" s="14" t="s">
        <v>801</v>
      </c>
      <c r="D31" s="14" t="s">
        <v>797</v>
      </c>
      <c r="E31" s="14" t="s">
        <v>802</v>
      </c>
      <c r="F31" s="14" t="s">
        <v>803</v>
      </c>
    </row>
    <row r="32" spans="1:6" ht="21.75" customHeight="1" x14ac:dyDescent="0.2">
      <c r="A32" s="23" t="s">
        <v>804</v>
      </c>
      <c r="B32" s="11" t="s">
        <v>180</v>
      </c>
      <c r="C32" s="11" t="s">
        <v>805</v>
      </c>
      <c r="D32" s="11" t="s">
        <v>368</v>
      </c>
      <c r="E32" s="11" t="s">
        <v>625</v>
      </c>
      <c r="F32" s="11" t="s">
        <v>806</v>
      </c>
    </row>
    <row r="33" spans="1:6" ht="21.75" customHeight="1" x14ac:dyDescent="0.2">
      <c r="A33" s="22" t="s">
        <v>320</v>
      </c>
      <c r="B33" s="17" t="s">
        <v>154</v>
      </c>
      <c r="C33" s="17" t="s">
        <v>644</v>
      </c>
      <c r="D33" s="17" t="s">
        <v>807</v>
      </c>
      <c r="E33" s="17" t="s">
        <v>808</v>
      </c>
      <c r="F33" s="17" t="s">
        <v>809</v>
      </c>
    </row>
    <row r="34" spans="1:6" ht="21.75" customHeight="1" x14ac:dyDescent="0.2">
      <c r="A34" s="23" t="s">
        <v>363</v>
      </c>
      <c r="B34" s="15" t="s">
        <v>180</v>
      </c>
      <c r="C34" s="15" t="s">
        <v>810</v>
      </c>
      <c r="D34" s="15" t="s">
        <v>811</v>
      </c>
      <c r="E34" s="15" t="s">
        <v>812</v>
      </c>
      <c r="F34" s="15" t="s">
        <v>813</v>
      </c>
    </row>
    <row r="35" spans="1:6" ht="21.75" customHeight="1" x14ac:dyDescent="0.2">
      <c r="A35" s="22" t="s">
        <v>800</v>
      </c>
      <c r="B35" s="17" t="s">
        <v>180</v>
      </c>
      <c r="C35" s="17" t="s">
        <v>801</v>
      </c>
      <c r="D35" s="17" t="s">
        <v>814</v>
      </c>
      <c r="E35" s="17" t="s">
        <v>381</v>
      </c>
      <c r="F35" s="17" t="s">
        <v>803</v>
      </c>
    </row>
    <row r="36" spans="1:6" ht="15.75" customHeight="1" x14ac:dyDescent="0.2"/>
    <row r="37" spans="1:6" ht="15.75" customHeight="1" x14ac:dyDescent="0.2"/>
    <row r="38" spans="1:6" ht="15.75" customHeight="1" x14ac:dyDescent="0.2"/>
    <row r="39" spans="1:6" ht="15.75" customHeight="1" x14ac:dyDescent="0.2"/>
    <row r="40" spans="1:6" ht="15.75" customHeight="1" x14ac:dyDescent="0.2"/>
    <row r="41" spans="1:6" ht="15.75" customHeight="1" x14ac:dyDescent="0.2"/>
    <row r="42" spans="1:6" ht="15.75" customHeight="1" x14ac:dyDescent="0.2"/>
    <row r="43" spans="1:6" ht="15.75" customHeight="1" x14ac:dyDescent="0.2"/>
    <row r="44" spans="1:6" ht="15.75" customHeight="1" x14ac:dyDescent="0.2"/>
    <row r="45" spans="1:6" ht="15.75" customHeight="1" x14ac:dyDescent="0.2"/>
    <row r="46" spans="1:6" ht="15.75" customHeight="1" x14ac:dyDescent="0.2"/>
    <row r="47" spans="1:6" ht="15.75" customHeight="1" x14ac:dyDescent="0.2"/>
    <row r="48" spans="1:6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A1:F1"/>
  </mergeCells>
  <pageMargins left="0.75" right="0.75" top="1" bottom="1" header="0" footer="0"/>
  <pageSetup orientation="landscape"/>
</worksheet>
</file>

<file path=docMetadata/LabelInfo.xml><?xml version="1.0" encoding="utf-8"?>
<clbl:labelList xmlns:clbl="http://schemas.microsoft.com/office/2020/mipLabelMetadata">
  <clbl:label id="{8158f467-f592-4f68-b205-41e7c092277d}" enabled="1" method="Standard" siteId="{66295b3b-c4fd-41af-a077-c0ec2a40e36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IP Input Sheet</vt:lpstr>
      <vt:lpstr> Fleet → Mgmt+WLD</vt:lpstr>
      <vt:lpstr>Mgmt+WLD → Fleet</vt:lpstr>
      <vt:lpstr>Fleet → External</vt:lpstr>
      <vt:lpstr> Route Table</vt:lpstr>
      <vt:lpstr>Port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Raju G Sayyaparaju</cp:lastModifiedBy>
  <dcterms:modified xsi:type="dcterms:W3CDTF">2026-03-16T20:42:14Z</dcterms:modified>
</cp:coreProperties>
</file>