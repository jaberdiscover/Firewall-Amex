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P Input Sheet" sheetId="1" state="visible" r:id="rId1"/>
    <sheet xmlns:r="http://schemas.openxmlformats.org/officeDocument/2006/relationships" name="Fleet → Mgmt+WLD" sheetId="2" state="visible" r:id="rId2"/>
    <sheet xmlns:r="http://schemas.openxmlformats.org/officeDocument/2006/relationships" name="Mgmt+WLD → Fleet" sheetId="3" state="visible" r:id="rId3"/>
    <sheet xmlns:r="http://schemas.openxmlformats.org/officeDocument/2006/relationships" name="Fleet → External" sheetId="4" state="visible" r:id="rId4"/>
    <sheet xmlns:r="http://schemas.openxmlformats.org/officeDocument/2006/relationships" name="Route Table" sheetId="5" state="visible" r:id="rId5"/>
    <sheet xmlns:r="http://schemas.openxmlformats.org/officeDocument/2006/relationships" name="Port Summary" sheetId="6" state="visible" r:id="rId6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8">
    <font>
      <name val="Calibri"/>
      <color theme="1"/>
      <sz val="11"/>
    </font>
    <font>
      <name val="Arial"/>
      <b val="1"/>
      <color rgb="00FFFFFF"/>
      <sz val="13"/>
    </font>
    <font/>
    <font>
      <name val="Calibri"/>
      <color theme="1"/>
      <sz val="11"/>
    </font>
    <font>
      <name val="Arial"/>
      <i val="1"/>
      <color rgb="007F0000"/>
      <sz val="9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color rgb="00000000"/>
      <sz val="9"/>
    </font>
    <font>
      <name val="Arial"/>
      <color rgb="007F6000"/>
      <sz val="9"/>
    </font>
    <font>
      <name val="Arial"/>
      <color theme="1"/>
      <sz val="9"/>
    </font>
    <font>
      <name val="Arial"/>
      <i val="1"/>
      <color rgb="007F7F7F"/>
      <sz val="9"/>
    </font>
    <font>
      <name val="Arial"/>
      <b val="1"/>
      <color rgb="00FFFFFF"/>
      <sz val="12"/>
    </font>
    <font>
      <name val="Arial"/>
      <b val="1"/>
      <color rgb="00375623"/>
      <sz val="9"/>
    </font>
    <font>
      <name val="Arial"/>
      <b val="1"/>
      <color rgb="000B5E34"/>
      <sz val="9"/>
    </font>
    <font>
      <name val="Arial"/>
      <b val="1"/>
      <color rgb="007030A0"/>
      <sz val="9"/>
    </font>
    <font>
      <name val="Arial"/>
      <b val="1"/>
      <color rgb="00C55A11"/>
      <sz val="9"/>
    </font>
    <font>
      <name val="Arial"/>
      <b val="1"/>
      <color rgb="001F3864"/>
      <sz val="9"/>
    </font>
    <font>
      <name val="Arial"/>
      <b val="1"/>
      <color rgb="00000000"/>
      <sz val="9"/>
    </font>
  </fonts>
  <fills count="16">
    <fill>
      <patternFill/>
    </fill>
    <fill>
      <patternFill patternType="lightGray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FFF99"/>
      </patternFill>
    </fill>
    <fill>
      <patternFill patternType="solid">
        <fgColor rgb="007030A0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5E5E5"/>
      </patternFill>
    </fill>
    <fill>
      <patternFill patternType="solid">
        <fgColor rgb="00FFFF00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F3E5F5"/>
      </patternFill>
    </fill>
    <fill>
      <patternFill patternType="solid">
        <fgColor rgb="00FCE4D6"/>
      </patternFill>
    </fill>
  </fills>
  <borders count="7">
    <border/>
    <border/>
    <border/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3" fillId="0" borderId="5"/>
  </cellStyleXfs>
  <cellXfs count="5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5" borderId="4" applyAlignment="1" pivotButton="0" quotePrefix="0" xfId="0">
      <alignment horizontal="left" vertical="center" wrapText="1"/>
    </xf>
    <xf numFmtId="0" fontId="8" fillId="6" borderId="4" applyAlignment="1" pivotButton="0" quotePrefix="0" xfId="0">
      <alignment horizontal="left" vertical="center" wrapText="1"/>
    </xf>
    <xf numFmtId="0" fontId="9" fillId="5" borderId="4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10" fillId="8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bottom"/>
    </xf>
    <xf numFmtId="0" fontId="9" fillId="9" borderId="5" applyAlignment="1" pivotButton="0" quotePrefix="0" xfId="0">
      <alignment horizontal="left" vertical="center" wrapText="1"/>
    </xf>
    <xf numFmtId="0" fontId="9" fillId="9" borderId="5" applyAlignment="1" pivotButton="0" quotePrefix="0" xfId="0">
      <alignment vertical="bottom"/>
    </xf>
    <xf numFmtId="0" fontId="9" fillId="9" borderId="5" applyAlignment="1" pivotButton="0" quotePrefix="0" xfId="0">
      <alignment horizontal="center" vertical="center" wrapText="1"/>
    </xf>
    <xf numFmtId="0" fontId="7" fillId="9" borderId="5" applyAlignment="1" pivotButton="0" quotePrefix="0" xfId="0">
      <alignment horizontal="left" vertical="center" wrapText="1"/>
    </xf>
    <xf numFmtId="0" fontId="3" fillId="9" borderId="5" applyAlignment="1" pivotButton="0" quotePrefix="0" xfId="0">
      <alignment vertical="bottom"/>
    </xf>
    <xf numFmtId="0" fontId="3" fillId="10" borderId="6" applyAlignment="1" pivotButton="0" quotePrefix="0" xfId="0">
      <alignment vertical="bottom"/>
    </xf>
    <xf numFmtId="0" fontId="3" fillId="0" borderId="6" applyAlignment="1" pivotButton="0" quotePrefix="0" xfId="0">
      <alignment vertical="bottom"/>
    </xf>
    <xf numFmtId="0" fontId="3" fillId="11" borderId="6" applyAlignment="1" pivotButton="0" quotePrefix="0" xfId="0">
      <alignment vertical="bottom"/>
    </xf>
    <xf numFmtId="0" fontId="11" fillId="2" borderId="1" applyAlignment="1" pivotButton="0" quotePrefix="0" xfId="0">
      <alignment horizontal="center" vertical="center" wrapText="1"/>
    </xf>
    <xf numFmtId="0" fontId="7" fillId="8" borderId="4" applyAlignment="1" pivotButton="0" quotePrefix="0" xfId="0">
      <alignment horizontal="left" vertical="center" wrapText="1"/>
    </xf>
    <xf numFmtId="0" fontId="12" fillId="12" borderId="4" applyAlignment="1" pivotButton="0" quotePrefix="0" xfId="0">
      <alignment horizontal="left" vertical="center" wrapText="1"/>
    </xf>
    <xf numFmtId="0" fontId="7" fillId="13" borderId="4" applyAlignment="1" pivotButton="0" quotePrefix="0" xfId="0">
      <alignment horizontal="left" vertical="center" wrapText="1"/>
    </xf>
    <xf numFmtId="0" fontId="7" fillId="9" borderId="4" applyAlignment="1" pivotButton="0" quotePrefix="0" xfId="0">
      <alignment horizontal="left" vertical="center" wrapText="1"/>
    </xf>
    <xf numFmtId="0" fontId="9" fillId="8" borderId="4" applyAlignment="1" pivotButton="0" quotePrefix="0" xfId="0">
      <alignment horizontal="left" vertical="center" wrapText="1"/>
    </xf>
    <xf numFmtId="0" fontId="9" fillId="13" borderId="4" applyAlignment="1" pivotButton="0" quotePrefix="0" xfId="0">
      <alignment horizontal="left" vertical="center" wrapText="1"/>
    </xf>
    <xf numFmtId="0" fontId="9" fillId="9" borderId="4" applyAlignment="1" pivotButton="0" quotePrefix="0" xfId="0">
      <alignment horizontal="left" vertical="center" wrapText="1"/>
    </xf>
    <xf numFmtId="0" fontId="9" fillId="12" borderId="4" applyAlignment="1" pivotButton="0" quotePrefix="0" xfId="0">
      <alignment horizontal="left" vertical="center" wrapText="1"/>
    </xf>
    <xf numFmtId="0" fontId="9" fillId="12" borderId="4" applyAlignment="1" pivotButton="0" quotePrefix="0" xfId="0">
      <alignment horizontal="left" vertical="center" wrapText="1"/>
    </xf>
    <xf numFmtId="0" fontId="13" fillId="12" borderId="0" applyAlignment="1" pivotButton="0" quotePrefix="0" xfId="0">
      <alignment horizontal="center" vertical="center"/>
    </xf>
    <xf numFmtId="0" fontId="14" fillId="14" borderId="4" applyAlignment="1" pivotButton="0" quotePrefix="0" xfId="0">
      <alignment horizontal="left" vertical="center" wrapText="1"/>
    </xf>
    <xf numFmtId="0" fontId="9" fillId="14" borderId="4" applyAlignment="1" pivotButton="0" quotePrefix="0" xfId="0">
      <alignment horizontal="left" vertical="center" wrapText="1"/>
    </xf>
    <xf numFmtId="0" fontId="15" fillId="15" borderId="4" applyAlignment="1" pivotButton="0" quotePrefix="0" xfId="0">
      <alignment horizontal="left" vertical="center" wrapText="1"/>
    </xf>
    <xf numFmtId="0" fontId="14" fillId="12" borderId="4" applyAlignment="1" pivotButton="0" quotePrefix="0" xfId="0">
      <alignment horizontal="left" vertical="center" wrapText="1"/>
    </xf>
    <xf numFmtId="0" fontId="7" fillId="12" borderId="4" applyAlignment="1" pivotButton="0" quotePrefix="0" xfId="0">
      <alignment horizontal="left" vertical="center" wrapText="1"/>
    </xf>
    <xf numFmtId="0" fontId="7" fillId="15" borderId="4" applyAlignment="1" pivotButton="0" quotePrefix="0" xfId="0">
      <alignment horizontal="left" vertical="center" wrapText="1"/>
    </xf>
    <xf numFmtId="0" fontId="9" fillId="15" borderId="4" applyAlignment="1" pivotButton="0" quotePrefix="0" xfId="0">
      <alignment horizontal="left" vertical="center" wrapText="1"/>
    </xf>
    <xf numFmtId="0" fontId="16" fillId="9" borderId="4" applyAlignment="1" pivotButton="0" quotePrefix="0" xfId="0">
      <alignment horizontal="left" vertical="center" wrapText="1"/>
    </xf>
    <xf numFmtId="0" fontId="16" fillId="8" borderId="4" applyAlignment="1" pivotButton="0" quotePrefix="0" xfId="0">
      <alignment horizontal="left" vertical="center" wrapText="1"/>
    </xf>
    <xf numFmtId="0" fontId="7" fillId="14" borderId="4" applyAlignment="1" pivotButton="0" quotePrefix="0" xfId="0">
      <alignment horizontal="left" vertical="center" wrapText="1"/>
    </xf>
    <xf numFmtId="0" fontId="14" fillId="9" borderId="4" applyAlignment="1" pivotButton="0" quotePrefix="0" xfId="0">
      <alignment horizontal="left" vertical="center" wrapText="1"/>
    </xf>
    <xf numFmtId="0" fontId="14" fillId="8" borderId="4" applyAlignment="1" pivotButton="0" quotePrefix="0" xfId="0">
      <alignment horizontal="left" vertical="center" wrapText="1"/>
    </xf>
    <xf numFmtId="0" fontId="17" fillId="9" borderId="4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2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3" borderId="5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left" vertical="center" wrapText="1"/>
    </xf>
    <xf numFmtId="0" fontId="6" fillId="7" borderId="5" applyAlignment="1" pivotButton="0" quotePrefix="0" xfId="0">
      <alignment horizontal="left" vertical="center" wrapText="1"/>
    </xf>
    <xf numFmtId="0" fontId="11" fillId="2" borderId="5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000030517578" defaultRowHeight="15"/>
  <cols>
    <col width="7" customWidth="1" style="46" min="1" max="1"/>
    <col width="45" customWidth="1" style="46" min="2" max="2"/>
    <col width="22" customWidth="1" style="46" min="3" max="6"/>
  </cols>
  <sheetData>
    <row r="1" ht="31.5" customHeight="1" s="46">
      <c r="A1" s="47" t="inlineStr">
        <is>
          <t>AES-220  |  IP Address Input Sheet  |  Enter all IP values here</t>
        </is>
      </c>
      <c r="B1" s="48" t="n"/>
      <c r="C1" s="48" t="n"/>
      <c r="D1" s="48" t="n"/>
      <c r="E1" s="48" t="n"/>
      <c r="F1" s="48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9.5" customHeight="1" s="46">
      <c r="A2" s="49" t="inlineStr">
        <is>
          <t>Fill in the IP/Subnet for each component. All firewall rule tabs will auto-populate.</t>
        </is>
      </c>
      <c r="B2" s="48" t="n"/>
      <c r="C2" s="48" t="n"/>
      <c r="D2" s="48" t="n"/>
      <c r="E2" s="48" t="n"/>
      <c r="F2" s="48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24" customHeight="1" s="46">
      <c r="A3" s="6" t="inlineStr">
        <is>
          <t>#</t>
        </is>
      </c>
      <c r="B3" s="6" t="inlineStr">
        <is>
          <t>Component / Service</t>
        </is>
      </c>
      <c r="C3" s="6" t="inlineStr">
        <is>
          <t>Named Range Key</t>
        </is>
      </c>
      <c r="D3" s="6" t="inlineStr">
        <is>
          <t>AZ1  IP / Subnet</t>
        </is>
      </c>
      <c r="E3" s="6" t="inlineStr">
        <is>
          <t>AZ2  IP / Subnet</t>
        </is>
      </c>
      <c r="F3" s="6" t="inlineStr">
        <is>
          <t>AZ3  IP / Subnet</t>
        </is>
      </c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21.75" customHeight="1" s="46">
      <c r="A4" s="50" t="inlineStr">
        <is>
          <t>🔷  FLEET COMPONENTS  (NSX Overlay Segment)</t>
        </is>
      </c>
      <c r="B4" s="48" t="n"/>
      <c r="C4" s="48" t="n"/>
      <c r="D4" s="48" t="n"/>
      <c r="E4" s="48" t="n"/>
      <c r="F4" s="48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8" customHeight="1" s="46">
      <c r="A5" s="8" t="inlineStr">
        <is>
          <t>F1</t>
        </is>
      </c>
      <c r="B5" s="8" t="inlineStr">
        <is>
          <t>VCF Operations Fleet Manager</t>
        </is>
      </c>
      <c r="C5" s="8" t="inlineStr">
        <is>
          <t>FLEET_MGR</t>
        </is>
      </c>
      <c r="D5" s="9" t="inlineStr">
        <is>
          <t>10.5.25.86</t>
        </is>
      </c>
      <c r="E5" s="9" t="inlineStr">
        <is>
          <t>10.5.25.86</t>
        </is>
      </c>
      <c r="F5" s="9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8" customHeight="1" s="46">
      <c r="A6" s="8" t="inlineStr">
        <is>
          <t>F2</t>
        </is>
      </c>
      <c r="B6" s="8" t="inlineStr">
        <is>
          <t>VCF Operations (VCFO)</t>
        </is>
      </c>
      <c r="C6" s="8" t="inlineStr">
        <is>
          <t>VCFO</t>
        </is>
      </c>
      <c r="D6" s="9" t="inlineStr">
        <is>
          <t>10.5.25.64/26</t>
        </is>
      </c>
      <c r="E6" s="9" t="n"/>
      <c r="F6" s="9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8" customHeight="1" s="46">
      <c r="A7" s="8" t="inlineStr">
        <is>
          <t>F3</t>
        </is>
      </c>
      <c r="B7" s="8" t="inlineStr">
        <is>
          <t>VCF Automation (VCFA)</t>
        </is>
      </c>
      <c r="C7" s="8" t="inlineStr">
        <is>
          <t>VCFA</t>
        </is>
      </c>
      <c r="D7" s="9" t="inlineStr">
        <is>
          <t>10.5.25.64/26</t>
        </is>
      </c>
      <c r="E7" s="9" t="n"/>
      <c r="F7" s="9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8" customHeight="1" s="46">
      <c r="A8" s="8" t="inlineStr">
        <is>
          <t>F4</t>
        </is>
      </c>
      <c r="B8" s="8" t="inlineStr">
        <is>
          <t>VCF Operations for Logs (VOL)</t>
        </is>
      </c>
      <c r="C8" s="8" t="inlineStr">
        <is>
          <t>VOL</t>
        </is>
      </c>
      <c r="D8" s="9" t="inlineStr">
        <is>
          <t>10.5.25.64/26</t>
        </is>
      </c>
      <c r="E8" s="9" t="n"/>
      <c r="F8" s="9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8" customHeight="1" s="46">
      <c r="A9" s="8" t="inlineStr">
        <is>
          <t>F5</t>
        </is>
      </c>
      <c r="B9" s="8" t="inlineStr">
        <is>
          <t>VCF Operations for Networks (VON)</t>
        </is>
      </c>
      <c r="C9" s="8" t="inlineStr">
        <is>
          <t>VON</t>
        </is>
      </c>
      <c r="D9" s="9" t="inlineStr">
        <is>
          <t>10.5.25.64/26</t>
        </is>
      </c>
      <c r="E9" s="9" t="n"/>
      <c r="F9" s="9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8" customHeight="1" s="46">
      <c r="A10" s="8" t="inlineStr">
        <is>
          <t>F6</t>
        </is>
      </c>
      <c r="B10" s="8" t="inlineStr">
        <is>
          <t>Identity Broker (VIDB)</t>
        </is>
      </c>
      <c r="C10" s="8" t="inlineStr">
        <is>
          <t>VIDB</t>
        </is>
      </c>
      <c r="D10" s="9" t="inlineStr">
        <is>
          <t>10.3.118.0/24</t>
        </is>
      </c>
      <c r="E10" s="9" t="inlineStr">
        <is>
          <t>10.5.59.0/24</t>
        </is>
      </c>
      <c r="F10" s="9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8" customHeight="1" s="46">
      <c r="A11" s="8" t="inlineStr">
        <is>
          <t>F7</t>
        </is>
      </c>
      <c r="B11" s="8" t="inlineStr">
        <is>
          <t>Fleet Overlay Subnet (overall)</t>
        </is>
      </c>
      <c r="C11" s="8" t="inlineStr">
        <is>
          <t>FLEET_SUBNET</t>
        </is>
      </c>
      <c r="D11" s="9" t="inlineStr">
        <is>
          <t>10.5.25.64/26</t>
        </is>
      </c>
      <c r="E11" s="9" t="inlineStr">
        <is>
          <t>10.5.25.64/26</t>
        </is>
      </c>
      <c r="F11" s="9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21.75" customHeight="1" s="46">
      <c r="A12" s="50" t="inlineStr">
        <is>
          <t>🔷  MANAGEMENT DOMAIN COMPONENTS  (VLAN 2600 — per AZ)</t>
        </is>
      </c>
      <c r="B12" s="48" t="n"/>
      <c r="C12" s="48" t="n"/>
      <c r="D12" s="48" t="n"/>
      <c r="E12" s="48" t="n"/>
      <c r="F12" s="48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8" customHeight="1" s="46">
      <c r="A13" s="8" t="inlineStr">
        <is>
          <t>M1</t>
        </is>
      </c>
      <c r="B13" s="8" t="inlineStr">
        <is>
          <t>vCenter Server</t>
        </is>
      </c>
      <c r="C13" s="8" t="inlineStr">
        <is>
          <t>VCENTER</t>
        </is>
      </c>
      <c r="D13" s="9" t="inlineStr">
        <is>
          <t>10.3.118.18</t>
        </is>
      </c>
      <c r="E13" s="9" t="inlineStr">
        <is>
          <t>10.5.59.4</t>
        </is>
      </c>
      <c r="F13" s="9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8" customHeight="1" s="46">
      <c r="A14" s="8" t="inlineStr">
        <is>
          <t>M2</t>
        </is>
      </c>
      <c r="B14" s="8" t="inlineStr">
        <is>
          <t>NSX Manager (Local)</t>
        </is>
      </c>
      <c r="C14" s="8" t="inlineStr">
        <is>
          <t>NSX_MGR</t>
        </is>
      </c>
      <c r="D14" s="9" t="inlineStr">
        <is>
          <t>10.3.118.0/24</t>
        </is>
      </c>
      <c r="E14" s="9" t="inlineStr">
        <is>
          <t>10.5.59.0/24</t>
        </is>
      </c>
      <c r="F14" s="9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8" customHeight="1" s="46">
      <c r="A15" s="8" t="inlineStr">
        <is>
          <t>M3</t>
        </is>
      </c>
      <c r="B15" s="8" t="inlineStr">
        <is>
          <t>NSX Global Manager</t>
        </is>
      </c>
      <c r="C15" s="8" t="inlineStr">
        <is>
          <t>NSX_GM</t>
        </is>
      </c>
      <c r="D15" s="9" t="inlineStr">
        <is>
          <t>10.3.118.0/24</t>
        </is>
      </c>
      <c r="E15" s="9" t="inlineStr">
        <is>
          <t>10.5.59.0/24</t>
        </is>
      </c>
      <c r="F15" s="9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8" customHeight="1" s="46">
      <c r="A16" s="8" t="inlineStr">
        <is>
          <t>M4</t>
        </is>
      </c>
      <c r="B16" s="8" t="inlineStr">
        <is>
          <t>SDDC Manager</t>
        </is>
      </c>
      <c r="C16" s="8" t="inlineStr">
        <is>
          <t>SDDC_MGR</t>
        </is>
      </c>
      <c r="D16" s="9" t="inlineStr">
        <is>
          <t>10.3.118.30</t>
        </is>
      </c>
      <c r="E16" s="9" t="inlineStr">
        <is>
          <t>10.5.59.30</t>
        </is>
      </c>
      <c r="F16" s="9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8" customHeight="1" s="46">
      <c r="A17" s="8" t="inlineStr">
        <is>
          <t>M5</t>
        </is>
      </c>
      <c r="B17" s="8" t="inlineStr">
        <is>
          <t>VCF Operations Collector</t>
        </is>
      </c>
      <c r="C17" s="8" t="inlineStr">
        <is>
          <t>VCFO_COLL</t>
        </is>
      </c>
      <c r="D17" s="9" t="inlineStr">
        <is>
          <t>10.3.118.35</t>
        </is>
      </c>
      <c r="E17" s="9" t="inlineStr">
        <is>
          <t>10.5.59.35</t>
        </is>
      </c>
      <c r="F17" s="9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8" customHeight="1" s="46">
      <c r="A18" s="8" t="inlineStr">
        <is>
          <t>M6</t>
        </is>
      </c>
      <c r="B18" s="8" t="inlineStr">
        <is>
          <t>ESXi Mgmt Subnet — Mgmt Domain</t>
        </is>
      </c>
      <c r="C18" s="8" t="inlineStr">
        <is>
          <t>ESXI_MGMT_MD</t>
        </is>
      </c>
      <c r="D18" s="9" t="inlineStr">
        <is>
          <t>10.3.118.0/24</t>
        </is>
      </c>
      <c r="E18" s="9" t="inlineStr">
        <is>
          <t>10.5.59.0/24</t>
        </is>
      </c>
      <c r="F18" s="9" t="inlineStr">
        <is>
          <t>10.5.58.0/24</t>
        </is>
      </c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8" customHeight="1" s="46">
      <c r="A19" s="8" t="inlineStr">
        <is>
          <t>M7</t>
        </is>
      </c>
      <c r="B19" s="8" t="inlineStr">
        <is>
          <t>VCF OPS for Network Collector</t>
        </is>
      </c>
      <c r="C19" s="8" t="inlineStr">
        <is>
          <t>VON_COLL</t>
        </is>
      </c>
      <c r="D19" s="9" t="inlineStr">
        <is>
          <t>10.3.118.101</t>
        </is>
      </c>
      <c r="E19" s="9" t="n"/>
      <c r="F19" s="9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8" customHeight="1" s="46">
      <c r="A20" s="10" t="inlineStr">
        <is>
          <t>M8</t>
        </is>
      </c>
      <c r="B20" s="10" t="inlineStr">
        <is>
          <t>VMware Live Recovery (VLR) Appliance — sfoMGMT-1-1-vlsr1.test.net</t>
        </is>
      </c>
      <c r="C20" s="10" t="inlineStr">
        <is>
          <t>VLR_MGMT</t>
        </is>
      </c>
      <c r="D20" s="9" t="inlineStr">
        <is>
          <t>192.168.188.1</t>
        </is>
      </c>
      <c r="E20" s="9" t="n"/>
      <c r="F20" s="9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21.75" customHeight="1" s="46">
      <c r="A21" s="51" t="inlineStr">
        <is>
          <t>🔷  EDGE CLUSTER UPLINKS  (per AZ — Edge VM IPs  | ToR IPs )</t>
        </is>
      </c>
      <c r="B21" s="48" t="n"/>
      <c r="C21" s="48" t="n"/>
      <c r="D21" s="48" t="n"/>
      <c r="E21" s="48" t="n"/>
      <c r="F21" s="48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8" customHeight="1" s="46">
      <c r="A22" s="10" t="inlineStr">
        <is>
          <t>EU1</t>
        </is>
      </c>
      <c r="B22" s="10" t="inlineStr">
        <is>
          <t>Edge 1  —  Uplink 1  (VLAN 2606 — Rack 1)</t>
        </is>
      </c>
      <c r="C22" s="10" t="inlineStr">
        <is>
          <t>EDGE1_UPL1</t>
        </is>
      </c>
      <c r="D22" s="9" t="inlineStr">
        <is>
          <t>10.3.111.101</t>
        </is>
      </c>
      <c r="E22" s="9" t="inlineStr">
        <is>
          <t>10.3.111.231</t>
        </is>
      </c>
      <c r="F22" s="9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8" customHeight="1" s="46">
      <c r="A23" s="10" t="inlineStr">
        <is>
          <t>EU2</t>
        </is>
      </c>
      <c r="B23" s="10" t="inlineStr">
        <is>
          <t>Edge 1  —  Uplink 2  (VLAN 2607 — Rack 1)</t>
        </is>
      </c>
      <c r="C23" s="10" t="inlineStr">
        <is>
          <t>EDGE1_UPL2</t>
        </is>
      </c>
      <c r="D23" s="9" t="inlineStr">
        <is>
          <t>10.3.111.121</t>
        </is>
      </c>
      <c r="E23" s="9" t="inlineStr">
        <is>
          <t>10.3.111.241</t>
        </is>
      </c>
      <c r="F23" s="9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8" customHeight="1" s="46">
      <c r="A24" s="10" t="inlineStr">
        <is>
          <t>EU3</t>
        </is>
      </c>
      <c r="B24" s="10" t="inlineStr">
        <is>
          <t>Edge 2  —  Uplink 1  (VLAN 2606 — Rack 1)</t>
        </is>
      </c>
      <c r="C24" s="10" t="inlineStr">
        <is>
          <t>EDGE2_UPL1</t>
        </is>
      </c>
      <c r="D24" s="9" t="inlineStr">
        <is>
          <t>10.3.111.102</t>
        </is>
      </c>
      <c r="E24" s="9" t="inlineStr">
        <is>
          <t>10.3.111.232</t>
        </is>
      </c>
      <c r="F24" s="9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8" customHeight="1" s="46">
      <c r="A25" s="10" t="inlineStr">
        <is>
          <t>EU4</t>
        </is>
      </c>
      <c r="B25" s="10" t="inlineStr">
        <is>
          <t>Edge 2  —  Uplink 2  (VLAN 2607 — Rack 1)</t>
        </is>
      </c>
      <c r="C25" s="10" t="inlineStr">
        <is>
          <t>EDGE2_UPL2</t>
        </is>
      </c>
      <c r="D25" s="9" t="inlineStr">
        <is>
          <t>10.3.111.122</t>
        </is>
      </c>
      <c r="E25" s="9" t="inlineStr">
        <is>
          <t>10.3.111.242</t>
        </is>
      </c>
      <c r="F25" s="9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8" customHeight="1" s="46">
      <c r="A26" s="10" t="inlineStr">
        <is>
          <t>EU5</t>
        </is>
      </c>
      <c r="B26" s="10" t="inlineStr">
        <is>
          <t>Edge 3  —  Uplink 1  (VLAN 2608 — Rack 2)</t>
        </is>
      </c>
      <c r="C26" s="10" t="inlineStr">
        <is>
          <t>EDGE3_UPL1</t>
        </is>
      </c>
      <c r="D26" s="9" t="inlineStr">
        <is>
          <t>10.3.111.133</t>
        </is>
      </c>
      <c r="E26" s="9" t="inlineStr">
        <is>
          <t>10.5.25.13</t>
        </is>
      </c>
      <c r="F26" s="9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8" customHeight="1" s="46">
      <c r="A27" s="10" t="inlineStr">
        <is>
          <t>EU6</t>
        </is>
      </c>
      <c r="B27" s="10" t="inlineStr">
        <is>
          <t>Edge 3  —  Uplink 2  (VLAN 2609 — Rack 2)</t>
        </is>
      </c>
      <c r="C27" s="10" t="inlineStr">
        <is>
          <t>EDGE3_UPL2</t>
        </is>
      </c>
      <c r="D27" s="9" t="inlineStr">
        <is>
          <t>10.3.111.153</t>
        </is>
      </c>
      <c r="E27" s="9" t="inlineStr">
        <is>
          <t>10.5.25.23</t>
        </is>
      </c>
      <c r="F27" s="9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8" customHeight="1" s="46">
      <c r="A28" s="10" t="inlineStr">
        <is>
          <t>EU7</t>
        </is>
      </c>
      <c r="B28" s="10" t="inlineStr">
        <is>
          <t>Edge 4  —  Uplink 1  (VLAN 2608 — Rack 2)</t>
        </is>
      </c>
      <c r="C28" s="10" t="inlineStr">
        <is>
          <t>EDGE4_UPL1</t>
        </is>
      </c>
      <c r="D28" s="9" t="inlineStr">
        <is>
          <t>10.3.111.134</t>
        </is>
      </c>
      <c r="E28" s="9" t="inlineStr">
        <is>
          <t>10.5.25.14</t>
        </is>
      </c>
      <c r="F28" s="9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8" customHeight="1" s="46">
      <c r="A29" s="10" t="inlineStr">
        <is>
          <t>EU8</t>
        </is>
      </c>
      <c r="B29" s="10" t="inlineStr">
        <is>
          <t>Edge 4  —  Uplink 2  (VLAN 2609 — Rack 2)</t>
        </is>
      </c>
      <c r="C29" s="10" t="inlineStr">
        <is>
          <t>EDGE4_UPL2</t>
        </is>
      </c>
      <c r="D29" s="9" t="inlineStr">
        <is>
          <t>10.3.111.154</t>
        </is>
      </c>
      <c r="E29" s="9" t="inlineStr">
        <is>
          <t>10.5.25.24</t>
        </is>
      </c>
      <c r="F29" s="9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8" customHeight="1" s="46">
      <c r="A30" s="10" t="inlineStr">
        <is>
          <t>EU9</t>
        </is>
      </c>
      <c r="B30" s="10" t="inlineStr">
        <is>
          <t>Edge TEP Subnet  (VLAN 2603 — intra-AZ HA + GENEVE)</t>
        </is>
      </c>
      <c r="C30" s="10" t="inlineStr">
        <is>
          <t>EDGE_TEP</t>
        </is>
      </c>
      <c r="D30" s="9" t="inlineStr">
        <is>
          <t>10.5.236.0/24</t>
        </is>
      </c>
      <c r="E30" s="9" t="inlineStr">
        <is>
          <t>10.5.248.0/24</t>
        </is>
      </c>
      <c r="F30" s="9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8" customHeight="1" s="46">
      <c r="A31" s="10" t="inlineStr">
        <is>
          <t>EU10</t>
        </is>
      </c>
      <c r="B31" s="10" t="inlineStr">
        <is>
          <t>Remote TEP Subnet  (VLAN 2605 — cross-AZ GENEVE)</t>
        </is>
      </c>
      <c r="C31" s="10" t="inlineStr">
        <is>
          <t>EDGE_RTEP</t>
        </is>
      </c>
      <c r="D31" s="9" t="inlineStr">
        <is>
          <t>10.5.22.0/24</t>
        </is>
      </c>
      <c r="E31" s="9" t="inlineStr">
        <is>
          <t>10.5.24.0/24</t>
        </is>
      </c>
      <c r="F31" s="9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8" customHeight="1" s="46">
      <c r="A32" s="10" t="inlineStr">
        <is>
          <t>EU11</t>
        </is>
      </c>
      <c r="B32" s="10" t="inlineStr">
        <is>
          <t>ToR BGP Peer — Rack 1  Uplink 1  (VLAN 2606)</t>
        </is>
      </c>
      <c r="C32" s="10" t="inlineStr">
        <is>
          <t>TOR_R1_UPL1</t>
        </is>
      </c>
      <c r="D32" s="9" t="inlineStr">
        <is>
          <t>10.3.111.97</t>
        </is>
      </c>
      <c r="E32" s="9" t="inlineStr">
        <is>
          <t>10.3.111.225</t>
        </is>
      </c>
      <c r="F32" s="9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8" customHeight="1" s="46">
      <c r="A33" s="10" t="inlineStr">
        <is>
          <t>EU12</t>
        </is>
      </c>
      <c r="B33" s="10" t="inlineStr">
        <is>
          <t>ToR BGP Peer — Rack 1  Uplink 2  (VLAN 2607)</t>
        </is>
      </c>
      <c r="C33" s="10" t="inlineStr">
        <is>
          <t>TOR_R1_UPL2</t>
        </is>
      </c>
      <c r="D33" s="9" t="inlineStr">
        <is>
          <t>10.3.111.113</t>
        </is>
      </c>
      <c r="E33" s="9" t="inlineStr">
        <is>
          <t>10.3.111.241</t>
        </is>
      </c>
      <c r="F33" s="9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8" customHeight="1" s="46">
      <c r="A34" s="10" t="inlineStr">
        <is>
          <t>EU13</t>
        </is>
      </c>
      <c r="B34" s="10" t="inlineStr">
        <is>
          <t>ToR BGP Peer — Rack 2  Uplink 1  (VLAN 2608)</t>
        </is>
      </c>
      <c r="C34" s="10" t="inlineStr">
        <is>
          <t>TOR_R2_UPL1</t>
        </is>
      </c>
      <c r="D34" s="9" t="inlineStr">
        <is>
          <t>10.3.111.129</t>
        </is>
      </c>
      <c r="E34" s="9" t="inlineStr">
        <is>
          <t>10.5.25.1</t>
        </is>
      </c>
      <c r="F34" s="9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21.75" customHeight="1" s="46">
      <c r="A35" s="10" t="inlineStr">
        <is>
          <t>EU14</t>
        </is>
      </c>
      <c r="B35" s="10" t="inlineStr">
        <is>
          <t>ToR BGP Peer — Rack 2  Uplink 2  (VLAN 2609)</t>
        </is>
      </c>
      <c r="C35" s="10" t="inlineStr">
        <is>
          <t>TOR_R2_UPL2</t>
        </is>
      </c>
      <c r="D35" s="9" t="n"/>
      <c r="E35" s="9" t="n"/>
      <c r="F35" s="9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21.75" customHeight="1" s="46">
      <c r="A36" s="51" t="inlineStr">
        <is>
          <t>🔷  EDGE NODE DETAIL  (per-node individual IPs — for NSX deployment config, not firewall rules)</t>
        </is>
      </c>
      <c r="B36" s="48" t="n"/>
      <c r="C36" s="48" t="n"/>
      <c r="D36" s="48" t="n"/>
      <c r="E36" s="48" t="n"/>
      <c r="F36" s="48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8" customHeight="1" s="46">
      <c r="A37" s="10" t="inlineStr">
        <is>
          <t>EN1_UPL1</t>
        </is>
      </c>
      <c r="B37" s="10" t="inlineStr">
        <is>
          <t>Edge Node 1 — Uplink 1 IP  (phxvq1cinflne01.phx.aexp.com)</t>
        </is>
      </c>
      <c r="C37" s="10" t="inlineStr">
        <is>
          <t>EN1_UPL1_IP</t>
        </is>
      </c>
      <c r="D37" s="9" t="n"/>
      <c r="E37" s="9" t="n"/>
      <c r="F37" s="9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8" customHeight="1" s="46">
      <c r="A38" s="10" t="inlineStr">
        <is>
          <t>EN1_UPL2</t>
        </is>
      </c>
      <c r="B38" s="10" t="inlineStr">
        <is>
          <t>Edge Node 1 — Uplink 2 IP  (phxvq1cinflne01.phx.aexp.com)</t>
        </is>
      </c>
      <c r="C38" s="10" t="inlineStr">
        <is>
          <t>EN1_UPL2_IP</t>
        </is>
      </c>
      <c r="D38" s="9" t="n"/>
      <c r="E38" s="9" t="n"/>
      <c r="F38" s="9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8" customHeight="1" s="46">
      <c r="A39" s="10" t="inlineStr">
        <is>
          <t>EN1_RTEP</t>
        </is>
      </c>
      <c r="B39" s="10" t="inlineStr">
        <is>
          <t>Edge Node 1 — RTEP IP  (phxvq1cinflne01.phx.aexp.com)</t>
        </is>
      </c>
      <c r="C39" s="10" t="inlineStr">
        <is>
          <t>EN1_RTEP_IP</t>
        </is>
      </c>
      <c r="D39" s="9" t="n"/>
      <c r="E39" s="9" t="n"/>
      <c r="F39" s="9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8" customHeight="1" s="46">
      <c r="A40" s="10" t="inlineStr">
        <is>
          <t>EN1_ETEP</t>
        </is>
      </c>
      <c r="B40" s="10" t="inlineStr">
        <is>
          <t>Edge Node 1 — Edge TEP IP  (phxvq1cinflne01.phx.aexp.com)</t>
        </is>
      </c>
      <c r="C40" s="10" t="inlineStr">
        <is>
          <t>EN1_ETEP_IP</t>
        </is>
      </c>
      <c r="D40" s="9" t="n"/>
      <c r="E40" s="9" t="n"/>
      <c r="F40" s="9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8" customHeight="1" s="46">
      <c r="A41" s="10" t="inlineStr">
        <is>
          <t>EN2_UPL1</t>
        </is>
      </c>
      <c r="B41" s="10" t="inlineStr">
        <is>
          <t>Edge Node 2 — Uplink 1 IP  (phxvq1cinflne02.phx.aexp.com)</t>
        </is>
      </c>
      <c r="C41" s="10" t="inlineStr">
        <is>
          <t>EN2_UPL1_IP</t>
        </is>
      </c>
      <c r="D41" s="9" t="n"/>
      <c r="E41" s="9" t="n"/>
      <c r="F41" s="9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8" customHeight="1" s="46">
      <c r="A42" s="10" t="inlineStr">
        <is>
          <t>EN2_UPL2</t>
        </is>
      </c>
      <c r="B42" s="10" t="inlineStr">
        <is>
          <t>Edge Node 2 — Uplink 2 IP  (phxvq1cinflne02.phx.aexp.com)</t>
        </is>
      </c>
      <c r="C42" s="10" t="inlineStr">
        <is>
          <t>EN2_UPL2_IP</t>
        </is>
      </c>
      <c r="D42" s="9" t="n"/>
      <c r="E42" s="9" t="n"/>
      <c r="F42" s="9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8" customHeight="1" s="46">
      <c r="A43" s="10" t="inlineStr">
        <is>
          <t>EN2_RTEP</t>
        </is>
      </c>
      <c r="B43" s="10" t="inlineStr">
        <is>
          <t>Edge Node 2 — RTEP IP  (phxvq1cinflne02.phx.aexp.com)</t>
        </is>
      </c>
      <c r="C43" s="10" t="inlineStr">
        <is>
          <t>EN2_RTEP_IP</t>
        </is>
      </c>
      <c r="D43" s="9" t="n"/>
      <c r="E43" s="9" t="n"/>
      <c r="F43" s="9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8" customHeight="1" s="46">
      <c r="A44" s="10" t="inlineStr">
        <is>
          <t>EN2_ETEP</t>
        </is>
      </c>
      <c r="B44" s="10" t="inlineStr">
        <is>
          <t>Edge Node 2 — Edge TEP IP  (phxvq1cinflne02.phx.aexp.com)</t>
        </is>
      </c>
      <c r="C44" s="10" t="inlineStr">
        <is>
          <t>EN2_ETEP_IP</t>
        </is>
      </c>
      <c r="D44" s="9" t="n"/>
      <c r="E44" s="9" t="n"/>
      <c r="F44" s="9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8" customHeight="1" s="46">
      <c r="A45" s="10" t="inlineStr">
        <is>
          <t>EN3_UPL1</t>
        </is>
      </c>
      <c r="B45" s="10" t="inlineStr">
        <is>
          <t>Edge Node 3 — Uplink 1 IP  (phxvq1cinflne03.phx.aexp.com)</t>
        </is>
      </c>
      <c r="C45" s="10" t="inlineStr">
        <is>
          <t>EN3_UPL1_IP</t>
        </is>
      </c>
      <c r="D45" s="9" t="n"/>
      <c r="E45" s="9" t="n"/>
      <c r="F45" s="9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8" customHeight="1" s="46">
      <c r="A46" s="10" t="inlineStr">
        <is>
          <t>EN3_UPL2</t>
        </is>
      </c>
      <c r="B46" s="10" t="inlineStr">
        <is>
          <t>Edge Node 3 — Uplink 2 IP  (phxvq1cinflne03.phx.aexp.com)</t>
        </is>
      </c>
      <c r="C46" s="10" t="inlineStr">
        <is>
          <t>EN3_UPL2_IP</t>
        </is>
      </c>
      <c r="D46" s="9" t="n"/>
      <c r="E46" s="9" t="n"/>
      <c r="F46" s="9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8" customHeight="1" s="46">
      <c r="A47" s="10" t="inlineStr">
        <is>
          <t>EN3_RTEP</t>
        </is>
      </c>
      <c r="B47" s="10" t="inlineStr">
        <is>
          <t>Edge Node 3 — RTEP IP  (phxvq1cinflne03.phx.aexp.com)</t>
        </is>
      </c>
      <c r="C47" s="10" t="inlineStr">
        <is>
          <t>EN3_RTEP_IP</t>
        </is>
      </c>
      <c r="D47" s="9" t="n"/>
      <c r="E47" s="9" t="n"/>
      <c r="F47" s="9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8" customHeight="1" s="46">
      <c r="A48" s="10" t="inlineStr">
        <is>
          <t>EN3_ETEP</t>
        </is>
      </c>
      <c r="B48" s="10" t="inlineStr">
        <is>
          <t>Edge Node 3 — Edge TEP IP  (phxvq1cinflne03.phx.aexp.com)</t>
        </is>
      </c>
      <c r="C48" s="10" t="inlineStr">
        <is>
          <t>EN3_ETEP_IP</t>
        </is>
      </c>
      <c r="D48" s="9" t="n"/>
      <c r="E48" s="9" t="n"/>
      <c r="F48" s="9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8" customHeight="1" s="46">
      <c r="A49" s="10" t="inlineStr">
        <is>
          <t>EN4_UPL1</t>
        </is>
      </c>
      <c r="B49" s="10" t="inlineStr">
        <is>
          <t>Edge Node 4 — Uplink 1 IP  (phxvq1cinflne04.phx.aexp.com)</t>
        </is>
      </c>
      <c r="C49" s="10" t="inlineStr">
        <is>
          <t>EN4_UPL1_IP</t>
        </is>
      </c>
      <c r="D49" s="9" t="n"/>
      <c r="E49" s="9" t="n"/>
      <c r="F49" s="9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8" customHeight="1" s="46">
      <c r="A50" s="10" t="inlineStr">
        <is>
          <t>EN4_UPL2</t>
        </is>
      </c>
      <c r="B50" s="10" t="inlineStr">
        <is>
          <t>Edge Node 4 — Uplink 2 IP  (phxvq1cinflne04.phx.aexp.com)</t>
        </is>
      </c>
      <c r="C50" s="10" t="inlineStr">
        <is>
          <t>EN4_UPL2_IP</t>
        </is>
      </c>
      <c r="D50" s="9" t="n"/>
      <c r="E50" s="9" t="n"/>
      <c r="F50" s="9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8" customHeight="1" s="46">
      <c r="A51" s="10" t="inlineStr">
        <is>
          <t>EN4_RTEP</t>
        </is>
      </c>
      <c r="B51" s="10" t="inlineStr">
        <is>
          <t>Edge Node 4 — RTEP IP  (phxvq1cinflne04.phx.aexp.com)</t>
        </is>
      </c>
      <c r="C51" s="10" t="inlineStr">
        <is>
          <t>EN4_RTEP_IP</t>
        </is>
      </c>
      <c r="D51" s="9" t="n"/>
      <c r="E51" s="9" t="n"/>
      <c r="F51" s="9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8" customHeight="1" s="46">
      <c r="A52" s="10" t="inlineStr">
        <is>
          <t>EN4_ETEP</t>
        </is>
      </c>
      <c r="B52" s="10" t="inlineStr">
        <is>
          <t>Edge Node 4 — Edge TEP IP  (phxvq1cinflne04.phx.aexp.com)</t>
        </is>
      </c>
      <c r="C52" s="10" t="inlineStr">
        <is>
          <t>EN4_ETEP_IP</t>
        </is>
      </c>
      <c r="D52" s="9" t="n"/>
      <c r="E52" s="9" t="n"/>
      <c r="F52" s="9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21.75" customHeight="1" s="46">
      <c r="A53" s="50" t="inlineStr">
        <is>
          <t>🔷  WORKLOAD DOMAIN  (per AZ)</t>
        </is>
      </c>
      <c r="B53" s="48" t="n"/>
      <c r="C53" s="48" t="n"/>
      <c r="D53" s="48" t="n"/>
      <c r="E53" s="48" t="n"/>
      <c r="F53" s="48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46">
      <c r="A54" s="10" t="inlineStr">
        <is>
          <t>W1</t>
        </is>
      </c>
      <c r="B54" s="10" t="inlineStr">
        <is>
          <t>ESXi Mgmt Subnet — WLD</t>
        </is>
      </c>
      <c r="C54" s="10" t="inlineStr">
        <is>
          <t>ESXI_MGMT_WLD</t>
        </is>
      </c>
      <c r="D54" s="9" t="inlineStr">
        <is>
          <t>10.3.118.0/24</t>
        </is>
      </c>
      <c r="E54" s="9" t="n"/>
      <c r="F54" s="9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46">
      <c r="A55" s="10" t="inlineStr">
        <is>
          <t>W2</t>
        </is>
      </c>
      <c r="B55" s="10" t="inlineStr">
        <is>
          <t>Workload Ext Subnet</t>
        </is>
      </c>
      <c r="C55" s="10" t="inlineStr">
        <is>
          <t>WLD_EXT</t>
        </is>
      </c>
      <c r="D55" s="9" t="n"/>
      <c r="E55" s="9" t="n"/>
      <c r="F55" s="9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46">
      <c r="A56" s="10" t="inlineStr">
        <is>
          <t>W3</t>
        </is>
      </c>
      <c r="B56" s="10" t="inlineStr">
        <is>
          <t>VPC Segment Subnet</t>
        </is>
      </c>
      <c r="C56" s="10" t="inlineStr">
        <is>
          <t>VPC_SEG</t>
        </is>
      </c>
      <c r="D56" s="9" t="n"/>
      <c r="E56" s="9" t="n"/>
      <c r="F56" s="9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46">
      <c r="A57" s="10" t="inlineStr">
        <is>
          <t>W4</t>
        </is>
      </c>
      <c r="B57" s="10" t="inlineStr">
        <is>
          <t>vCenter Server (WLD)</t>
        </is>
      </c>
      <c r="C57" s="10" t="inlineStr">
        <is>
          <t>VCENTER_WLD</t>
        </is>
      </c>
      <c r="D57" s="9" t="n"/>
      <c r="E57" s="9" t="n"/>
      <c r="F57" s="9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46">
      <c r="A58" s="10" t="inlineStr">
        <is>
          <t>W5</t>
        </is>
      </c>
      <c r="B58" s="10" t="inlineStr">
        <is>
          <t>NSX Manager (WLD)</t>
        </is>
      </c>
      <c r="C58" s="10" t="inlineStr">
        <is>
          <t>NSX_MGR_WLD</t>
        </is>
      </c>
      <c r="D58" s="9" t="n"/>
      <c r="E58" s="9" t="n"/>
      <c r="F58" s="9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46">
      <c r="A59" s="50" t="inlineStr">
        <is>
          <t>🔷  EXTERNAL SERVICES  (shared — no AZ split needed)</t>
        </is>
      </c>
      <c r="B59" s="48" t="n"/>
      <c r="C59" s="48" t="n"/>
      <c r="D59" s="48" t="n"/>
      <c r="E59" s="48" t="n"/>
      <c r="F59" s="48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46">
      <c r="A60" s="10" t="inlineStr">
        <is>
          <t>E1</t>
        </is>
      </c>
      <c r="B60" s="10" t="inlineStr">
        <is>
          <t>DNS Server</t>
        </is>
      </c>
      <c r="C60" s="10" t="inlineStr">
        <is>
          <t>DNS_SRV</t>
        </is>
      </c>
      <c r="D60" s="9" t="n"/>
      <c r="E60" s="12" t="inlineStr">
        <is>
          <t>N/A — shared</t>
        </is>
      </c>
      <c r="F60" s="12" t="inlineStr">
        <is>
          <t>N/A — shared</t>
        </is>
      </c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46">
      <c r="A61" s="10" t="inlineStr">
        <is>
          <t>E2</t>
        </is>
      </c>
      <c r="B61" s="10" t="inlineStr">
        <is>
          <t>NTP Server</t>
        </is>
      </c>
      <c r="C61" s="10" t="inlineStr">
        <is>
          <t>NTP_SRV</t>
        </is>
      </c>
      <c r="D61" s="9" t="n"/>
      <c r="E61" s="12" t="inlineStr">
        <is>
          <t>N/A — shared</t>
        </is>
      </c>
      <c r="F61" s="12" t="inlineStr">
        <is>
          <t>N/A — shared</t>
        </is>
      </c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46">
      <c r="A62" s="10" t="inlineStr">
        <is>
          <t>E3</t>
        </is>
      </c>
      <c r="B62" s="10" t="inlineStr">
        <is>
          <t>AD / LDAP Server</t>
        </is>
      </c>
      <c r="C62" s="10" t="inlineStr">
        <is>
          <t>AD_SRV</t>
        </is>
      </c>
      <c r="D62" s="9" t="n"/>
      <c r="E62" s="12" t="inlineStr">
        <is>
          <t>N/A — shared</t>
        </is>
      </c>
      <c r="F62" s="12" t="inlineStr">
        <is>
          <t>N/A — shared</t>
        </is>
      </c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46">
      <c r="A63" s="10" t="inlineStr">
        <is>
          <t>E4</t>
        </is>
      </c>
      <c r="B63" s="10" t="inlineStr">
        <is>
          <t>CA Certificate Server</t>
        </is>
      </c>
      <c r="C63" s="10" t="inlineStr">
        <is>
          <t>CA_SRV</t>
        </is>
      </c>
      <c r="D63" s="9" t="n"/>
      <c r="E63" s="12" t="inlineStr">
        <is>
          <t>N/A — shared</t>
        </is>
      </c>
      <c r="F63" s="12" t="inlineStr">
        <is>
          <t>N/A — shared</t>
        </is>
      </c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46">
      <c r="A64" s="10" t="inlineStr">
        <is>
          <t>E5</t>
        </is>
      </c>
      <c r="B64" s="10" t="inlineStr">
        <is>
          <t>SFTP Backup Server</t>
        </is>
      </c>
      <c r="C64" s="10" t="inlineStr">
        <is>
          <t>SFTP_SRV</t>
        </is>
      </c>
      <c r="D64" s="9" t="n"/>
      <c r="E64" s="12" t="inlineStr">
        <is>
          <t>N/A — shared</t>
        </is>
      </c>
      <c r="F64" s="12" t="inlineStr">
        <is>
          <t>N/A — shared</t>
        </is>
      </c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46">
      <c r="A65" s="10" t="inlineStr">
        <is>
          <t>E6</t>
        </is>
      </c>
      <c r="B65" s="10" t="inlineStr">
        <is>
          <t>Artifactory / Depot</t>
        </is>
      </c>
      <c r="C65" s="10" t="inlineStr">
        <is>
          <t>ARTIF_SRV</t>
        </is>
      </c>
      <c r="D65" s="9" t="n"/>
      <c r="E65" s="12" t="inlineStr">
        <is>
          <t>N/A — shared</t>
        </is>
      </c>
      <c r="F65" s="12" t="inlineStr">
        <is>
          <t>N/A — shared</t>
        </is>
      </c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46">
      <c r="A66" s="13" t="n"/>
      <c r="B66" s="13" t="n"/>
      <c r="C66" s="13" t="n"/>
      <c r="D66" s="13" t="n"/>
      <c r="E66" s="13" t="n"/>
      <c r="F66" s="13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46">
      <c r="A67" s="10" t="inlineStr">
        <is>
          <t>LEGEND:</t>
        </is>
      </c>
      <c r="B67" s="10" t="inlineStr">
        <is>
          <t>Yellow cells = enter IP/subnet here</t>
        </is>
      </c>
      <c r="C67" s="10" t="inlineStr">
        <is>
          <t>Grey = not applicable (shared services)</t>
        </is>
      </c>
      <c r="D67" s="9" t="n"/>
      <c r="E67" s="12" t="inlineStr">
        <is>
          <t>N/A — shared</t>
        </is>
      </c>
      <c r="F67" s="12" t="inlineStr">
        <is>
          <t>N/A — shared</t>
        </is>
      </c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46">
      <c r="A68" s="14" t="n"/>
      <c r="B68" s="14" t="n"/>
      <c r="C68" s="15" t="n"/>
      <c r="D68" s="15" t="n"/>
      <c r="E68" s="16" t="n"/>
      <c r="F68" s="15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46">
      <c r="A69" s="15" t="n"/>
      <c r="B69" s="14" t="n"/>
      <c r="C69" s="15" t="n"/>
      <c r="D69" s="15" t="n"/>
      <c r="E69" s="15" t="n"/>
      <c r="F69" s="15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46">
      <c r="A70" s="13" t="n"/>
      <c r="B70" s="13" t="n"/>
      <c r="C70" s="13" t="n"/>
      <c r="D70" s="13" t="n"/>
      <c r="E70" s="13" t="n"/>
      <c r="F70" s="13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46">
      <c r="A71" s="13" t="n"/>
      <c r="B71" s="13" t="n"/>
      <c r="C71" s="13" t="n"/>
      <c r="D71" s="13" t="n"/>
      <c r="E71" s="13" t="n"/>
      <c r="F71" s="13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46">
      <c r="A72" s="17" t="n"/>
      <c r="B72" s="17" t="n"/>
      <c r="C72" s="17" t="n"/>
      <c r="D72" s="18" t="n"/>
      <c r="E72" s="18" t="n"/>
      <c r="F72" s="18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46">
      <c r="A73" s="18" t="n"/>
      <c r="B73" s="17" t="n"/>
      <c r="C73" s="17" t="n"/>
      <c r="D73" s="18" t="n"/>
      <c r="E73" s="18" t="n"/>
      <c r="F73" s="18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46">
      <c r="A74" s="18" t="n"/>
      <c r="B74" s="17" t="n"/>
      <c r="C74" s="17" t="n"/>
      <c r="D74" s="18" t="n"/>
      <c r="E74" s="18" t="n"/>
      <c r="F74" s="18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46">
      <c r="A75" s="18" t="n"/>
      <c r="B75" s="17" t="n"/>
      <c r="C75" s="17" t="n"/>
      <c r="D75" s="18" t="n"/>
      <c r="E75" s="18" t="n"/>
      <c r="F75" s="18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46">
      <c r="A76" s="13" t="n"/>
      <c r="B76" s="13" t="n"/>
      <c r="C76" s="13" t="n"/>
      <c r="D76" s="13" t="n"/>
      <c r="E76" s="13" t="n"/>
      <c r="F76" s="13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46">
      <c r="A77" s="13" t="n"/>
      <c r="B77" s="13" t="n"/>
      <c r="C77" s="13" t="n"/>
      <c r="D77" s="13" t="n"/>
      <c r="E77" s="13" t="n"/>
      <c r="F77" s="13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46">
      <c r="A78" s="13" t="inlineStr">
        <is>
          <t>ex:</t>
        </is>
      </c>
      <c r="B78" s="19" t="inlineStr">
        <is>
          <t>phxvq1cinflne01.phx.aexp.com</t>
        </is>
      </c>
      <c r="C78" s="19" t="inlineStr">
        <is>
          <t>10.3.118.22</t>
        </is>
      </c>
      <c r="D78" s="13" t="n"/>
      <c r="E78" s="13" t="n"/>
      <c r="F78" s="13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46">
      <c r="A79" s="13" t="n"/>
      <c r="B79" s="20" t="inlineStr">
        <is>
          <t>uplink1</t>
        </is>
      </c>
      <c r="C79" s="19" t="inlineStr">
        <is>
          <t>10.3.111.101</t>
        </is>
      </c>
      <c r="D79" s="13" t="n"/>
      <c r="E79" s="13" t="n"/>
      <c r="F79" s="13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46">
      <c r="A80" s="13" t="n"/>
      <c r="B80" s="20" t="inlineStr">
        <is>
          <t>uplink2</t>
        </is>
      </c>
      <c r="C80" s="19" t="inlineStr">
        <is>
          <t>10.3.111.121</t>
        </is>
      </c>
      <c r="D80" s="13" t="n"/>
      <c r="E80" s="13" t="n"/>
      <c r="F80" s="13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46">
      <c r="A81" s="13" t="n"/>
      <c r="B81" s="20" t="inlineStr">
        <is>
          <t>RTEP</t>
        </is>
      </c>
      <c r="C81" s="21" t="inlineStr">
        <is>
          <t>10.5.22.21</t>
        </is>
      </c>
      <c r="D81" s="13" t="n"/>
      <c r="E81" s="13" t="n"/>
      <c r="F81" s="13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46">
      <c r="A82" s="13" t="n"/>
      <c r="B82" s="20" t="inlineStr">
        <is>
          <t>edgeTEP</t>
        </is>
      </c>
      <c r="C82" s="20" t="inlineStr">
        <is>
          <t>10.3.69.164</t>
        </is>
      </c>
      <c r="D82" s="13" t="n"/>
      <c r="E82" s="13" t="n"/>
      <c r="F82" s="13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46">
      <c r="A83" s="13" t="inlineStr">
        <is>
          <t>Live Recovery</t>
        </is>
      </c>
      <c r="B83" s="13" t="inlineStr">
        <is>
          <t>VM??</t>
        </is>
      </c>
      <c r="C83" s="13" t="n"/>
      <c r="D83" s="13" t="n"/>
      <c r="E83" s="13" t="n"/>
      <c r="F83" s="13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46">
      <c r="A84" s="13" t="n"/>
      <c r="B84" s="13" t="n"/>
      <c r="C84" s="13" t="n"/>
      <c r="D84" s="13" t="n"/>
      <c r="E84" s="13" t="n"/>
      <c r="F84" s="13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46">
      <c r="A85" s="13" t="n"/>
      <c r="B85" s="13" t="n"/>
      <c r="C85" s="13" t="n"/>
      <c r="D85" s="13" t="n"/>
      <c r="E85" s="13" t="n"/>
      <c r="F85" s="13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46">
      <c r="A86" s="13" t="n"/>
      <c r="B86" s="13" t="n"/>
      <c r="C86" s="13" t="n"/>
      <c r="D86" s="13" t="n"/>
      <c r="E86" s="13" t="n"/>
      <c r="F86" s="13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46">
      <c r="A87" s="13" t="n"/>
      <c r="B87" s="13" t="n"/>
      <c r="C87" s="13" t="n"/>
      <c r="D87" s="13" t="n"/>
      <c r="E87" s="13" t="n"/>
      <c r="F87" s="13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46">
      <c r="A88" s="13" t="n"/>
      <c r="B88" s="13" t="n"/>
      <c r="C88" s="13" t="n"/>
      <c r="D88" s="13" t="n"/>
      <c r="E88" s="13" t="n"/>
      <c r="F88" s="13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46">
      <c r="A89" s="13" t="n"/>
      <c r="B89" s="13" t="n"/>
      <c r="C89" s="13" t="n"/>
      <c r="D89" s="13" t="n"/>
      <c r="E89" s="13" t="n"/>
      <c r="F89" s="13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46">
      <c r="A90" s="13" t="n"/>
      <c r="B90" s="13" t="n"/>
      <c r="C90" s="13" t="n"/>
      <c r="D90" s="13" t="n"/>
      <c r="E90" s="13" t="n"/>
      <c r="F90" s="13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46">
      <c r="A91" s="13" t="n"/>
      <c r="B91" s="13" t="n"/>
      <c r="C91" s="13" t="n"/>
      <c r="D91" s="13" t="n"/>
      <c r="E91" s="13" t="n"/>
      <c r="F91" s="13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46">
      <c r="A92" s="13" t="n"/>
      <c r="B92" s="13" t="n"/>
      <c r="C92" s="13" t="n"/>
      <c r="D92" s="13" t="n"/>
      <c r="E92" s="13" t="n"/>
      <c r="F92" s="13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46">
      <c r="A93" s="13" t="n"/>
      <c r="B93" s="13" t="n"/>
      <c r="C93" s="13" t="n"/>
      <c r="D93" s="13" t="n"/>
      <c r="E93" s="13" t="n"/>
      <c r="F93" s="13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46">
      <c r="A94" s="13" t="n"/>
      <c r="B94" s="13" t="n"/>
      <c r="C94" s="13" t="n"/>
      <c r="D94" s="13" t="n"/>
      <c r="E94" s="13" t="n"/>
      <c r="F94" s="13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46">
      <c r="A95" s="13" t="n"/>
      <c r="B95" s="13" t="n"/>
      <c r="C95" s="13" t="n"/>
      <c r="D95" s="13" t="n"/>
      <c r="E95" s="13" t="n"/>
      <c r="F95" s="13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46">
      <c r="A96" s="13" t="n"/>
      <c r="B96" s="13" t="n"/>
      <c r="C96" s="13" t="n"/>
      <c r="D96" s="13" t="n"/>
      <c r="E96" s="13" t="n"/>
      <c r="F96" s="13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46">
      <c r="A97" s="13" t="n"/>
      <c r="B97" s="13" t="n"/>
      <c r="C97" s="13" t="n"/>
      <c r="D97" s="13" t="n"/>
      <c r="E97" s="13" t="n"/>
      <c r="F97" s="13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46">
      <c r="A98" s="13" t="n"/>
      <c r="B98" s="13" t="n"/>
      <c r="C98" s="13" t="n"/>
      <c r="D98" s="13" t="n"/>
      <c r="E98" s="13" t="n"/>
      <c r="F98" s="13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46">
      <c r="A99" s="13" t="n"/>
      <c r="B99" s="13" t="n"/>
      <c r="C99" s="13" t="n"/>
      <c r="D99" s="13" t="n"/>
      <c r="E99" s="13" t="n"/>
      <c r="F99" s="13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46">
      <c r="A100" s="13" t="n"/>
      <c r="B100" s="13" t="n"/>
      <c r="C100" s="13" t="n"/>
      <c r="D100" s="13" t="n"/>
      <c r="E100" s="13" t="n"/>
      <c r="F100" s="13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46">
      <c r="A101" s="13" t="n"/>
      <c r="B101" s="13" t="n"/>
      <c r="C101" s="13" t="n"/>
      <c r="D101" s="13" t="n"/>
      <c r="E101" s="13" t="n"/>
      <c r="F101" s="13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46">
      <c r="A102" s="13" t="n"/>
      <c r="B102" s="13" t="n"/>
      <c r="C102" s="13" t="n"/>
      <c r="D102" s="13" t="n"/>
      <c r="E102" s="13" t="n"/>
      <c r="F102" s="13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46">
      <c r="A103" s="13" t="n"/>
      <c r="B103" s="13" t="n"/>
      <c r="C103" s="13" t="n"/>
      <c r="D103" s="13" t="n"/>
      <c r="E103" s="13" t="n"/>
      <c r="F103" s="13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46">
      <c r="A104" s="13" t="n"/>
      <c r="B104" s="13" t="n"/>
      <c r="C104" s="13" t="n"/>
      <c r="D104" s="13" t="n"/>
      <c r="E104" s="13" t="n"/>
      <c r="F104" s="13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46">
      <c r="A105" s="13" t="n"/>
      <c r="B105" s="13" t="n"/>
      <c r="C105" s="13" t="n"/>
      <c r="D105" s="13" t="n"/>
      <c r="E105" s="13" t="n"/>
      <c r="F105" s="13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46">
      <c r="A106" s="13" t="n"/>
      <c r="B106" s="13" t="n"/>
      <c r="C106" s="13" t="n"/>
      <c r="D106" s="13" t="n"/>
      <c r="E106" s="13" t="n"/>
      <c r="F106" s="13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46">
      <c r="A107" s="13" t="n"/>
      <c r="B107" s="13" t="n"/>
      <c r="C107" s="13" t="n"/>
      <c r="D107" s="13" t="n"/>
      <c r="E107" s="13" t="n"/>
      <c r="F107" s="13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46">
      <c r="A108" s="13" t="n"/>
      <c r="B108" s="13" t="n"/>
      <c r="C108" s="13" t="n"/>
      <c r="D108" s="13" t="n"/>
      <c r="E108" s="13" t="n"/>
      <c r="F108" s="13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46">
      <c r="A109" s="13" t="n"/>
      <c r="B109" s="13" t="n"/>
      <c r="C109" s="13" t="n"/>
      <c r="D109" s="13" t="n"/>
      <c r="E109" s="13" t="n"/>
      <c r="F109" s="13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46">
      <c r="A110" s="13" t="n"/>
      <c r="B110" s="13" t="n"/>
      <c r="C110" s="13" t="n"/>
      <c r="D110" s="13" t="n"/>
      <c r="E110" s="13" t="n"/>
      <c r="F110" s="13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46">
      <c r="A111" s="13" t="n"/>
      <c r="B111" s="13" t="n"/>
      <c r="C111" s="13" t="n"/>
      <c r="D111" s="13" t="n"/>
      <c r="E111" s="13" t="n"/>
      <c r="F111" s="13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46">
      <c r="A112" s="13" t="n"/>
      <c r="B112" s="13" t="n"/>
      <c r="C112" s="13" t="n"/>
      <c r="D112" s="13" t="n"/>
      <c r="E112" s="13" t="n"/>
      <c r="F112" s="13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46">
      <c r="A113" s="13" t="n"/>
      <c r="B113" s="13" t="n"/>
      <c r="C113" s="13" t="n"/>
      <c r="D113" s="13" t="n"/>
      <c r="E113" s="13" t="n"/>
      <c r="F113" s="13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46">
      <c r="A114" s="13" t="n"/>
      <c r="B114" s="13" t="n"/>
      <c r="C114" s="13" t="n"/>
      <c r="D114" s="13" t="n"/>
      <c r="E114" s="13" t="n"/>
      <c r="F114" s="13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46">
      <c r="A115" s="13" t="n"/>
      <c r="B115" s="13" t="n"/>
      <c r="C115" s="13" t="n"/>
      <c r="D115" s="13" t="n"/>
      <c r="E115" s="13" t="n"/>
      <c r="F115" s="13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46">
      <c r="A116" s="13" t="n"/>
      <c r="B116" s="13" t="n"/>
      <c r="C116" s="13" t="n"/>
      <c r="D116" s="13" t="n"/>
      <c r="E116" s="13" t="n"/>
      <c r="F116" s="13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46">
      <c r="A117" s="13" t="n"/>
      <c r="B117" s="13" t="n"/>
      <c r="C117" s="13" t="n"/>
      <c r="D117" s="13" t="n"/>
      <c r="E117" s="13" t="n"/>
      <c r="F117" s="13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46">
      <c r="A118" s="13" t="n"/>
      <c r="B118" s="13" t="n"/>
      <c r="C118" s="13" t="n"/>
      <c r="D118" s="13" t="n"/>
      <c r="E118" s="13" t="n"/>
      <c r="F118" s="13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46">
      <c r="A119" s="13" t="n"/>
      <c r="B119" s="13" t="n"/>
      <c r="C119" s="13" t="n"/>
      <c r="D119" s="13" t="n"/>
      <c r="E119" s="13" t="n"/>
      <c r="F119" s="13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46">
      <c r="A120" s="13" t="n"/>
      <c r="B120" s="13" t="n"/>
      <c r="C120" s="13" t="n"/>
      <c r="D120" s="13" t="n"/>
      <c r="E120" s="13" t="n"/>
      <c r="F120" s="13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46">
      <c r="A121" s="13" t="n"/>
      <c r="B121" s="13" t="n"/>
      <c r="C121" s="13" t="n"/>
      <c r="D121" s="13" t="n"/>
      <c r="E121" s="13" t="n"/>
      <c r="F121" s="13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46">
      <c r="A122" s="13" t="n"/>
      <c r="B122" s="13" t="n"/>
      <c r="C122" s="13" t="n"/>
      <c r="D122" s="13" t="n"/>
      <c r="E122" s="13" t="n"/>
      <c r="F122" s="13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46">
      <c r="A123" s="13" t="n"/>
      <c r="B123" s="13" t="n"/>
      <c r="C123" s="13" t="n"/>
      <c r="D123" s="13" t="n"/>
      <c r="E123" s="13" t="n"/>
      <c r="F123" s="13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46">
      <c r="A124" s="13" t="n"/>
      <c r="B124" s="13" t="n"/>
      <c r="C124" s="13" t="n"/>
      <c r="D124" s="13" t="n"/>
      <c r="E124" s="13" t="n"/>
      <c r="F124" s="13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46">
      <c r="A125" s="13" t="n"/>
      <c r="B125" s="13" t="n"/>
      <c r="C125" s="13" t="n"/>
      <c r="D125" s="13" t="n"/>
      <c r="E125" s="13" t="n"/>
      <c r="F125" s="13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46">
      <c r="A126" s="13" t="n"/>
      <c r="B126" s="13" t="n"/>
      <c r="C126" s="13" t="n"/>
      <c r="D126" s="13" t="n"/>
      <c r="E126" s="13" t="n"/>
      <c r="F126" s="13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46">
      <c r="A127" s="13" t="n"/>
      <c r="B127" s="13" t="n"/>
      <c r="C127" s="13" t="n"/>
      <c r="D127" s="13" t="n"/>
      <c r="E127" s="13" t="n"/>
      <c r="F127" s="13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46">
      <c r="A128" s="13" t="n"/>
      <c r="B128" s="13" t="n"/>
      <c r="C128" s="13" t="n"/>
      <c r="D128" s="13" t="n"/>
      <c r="E128" s="13" t="n"/>
      <c r="F128" s="13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46">
      <c r="A129" s="13" t="n"/>
      <c r="B129" s="13" t="n"/>
      <c r="C129" s="13" t="n"/>
      <c r="D129" s="13" t="n"/>
      <c r="E129" s="13" t="n"/>
      <c r="F129" s="13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46">
      <c r="A130" s="13" t="n"/>
      <c r="B130" s="13" t="n"/>
      <c r="C130" s="13" t="n"/>
      <c r="D130" s="13" t="n"/>
      <c r="E130" s="13" t="n"/>
      <c r="F130" s="13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46">
      <c r="A131" s="13" t="n"/>
      <c r="B131" s="13" t="n"/>
      <c r="C131" s="13" t="n"/>
      <c r="D131" s="13" t="n"/>
      <c r="E131" s="13" t="n"/>
      <c r="F131" s="13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46">
      <c r="A132" s="13" t="n"/>
      <c r="B132" s="13" t="n"/>
      <c r="C132" s="13" t="n"/>
      <c r="D132" s="13" t="n"/>
      <c r="E132" s="13" t="n"/>
      <c r="F132" s="13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46">
      <c r="A133" s="13" t="n"/>
      <c r="B133" s="13" t="n"/>
      <c r="C133" s="13" t="n"/>
      <c r="D133" s="13" t="n"/>
      <c r="E133" s="13" t="n"/>
      <c r="F133" s="13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46">
      <c r="A134" s="13" t="n"/>
      <c r="B134" s="13" t="n"/>
      <c r="C134" s="13" t="n"/>
      <c r="D134" s="13" t="n"/>
      <c r="E134" s="13" t="n"/>
      <c r="F134" s="13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46">
      <c r="A135" s="13" t="n"/>
      <c r="B135" s="13" t="n"/>
      <c r="C135" s="13" t="n"/>
      <c r="D135" s="13" t="n"/>
      <c r="E135" s="13" t="n"/>
      <c r="F135" s="13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46">
      <c r="A136" s="13" t="n"/>
      <c r="B136" s="13" t="n"/>
      <c r="C136" s="13" t="n"/>
      <c r="D136" s="13" t="n"/>
      <c r="E136" s="13" t="n"/>
      <c r="F136" s="13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46">
      <c r="A137" s="13" t="n"/>
      <c r="B137" s="13" t="n"/>
      <c r="C137" s="13" t="n"/>
      <c r="D137" s="13" t="n"/>
      <c r="E137" s="13" t="n"/>
      <c r="F137" s="13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46">
      <c r="A138" s="13" t="n"/>
      <c r="B138" s="13" t="n"/>
      <c r="C138" s="13" t="n"/>
      <c r="D138" s="13" t="n"/>
      <c r="E138" s="13" t="n"/>
      <c r="F138" s="13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46">
      <c r="A139" s="13" t="n"/>
      <c r="B139" s="13" t="n"/>
      <c r="C139" s="13" t="n"/>
      <c r="D139" s="13" t="n"/>
      <c r="E139" s="13" t="n"/>
      <c r="F139" s="13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46">
      <c r="A140" s="13" t="n"/>
      <c r="B140" s="13" t="n"/>
      <c r="C140" s="13" t="n"/>
      <c r="D140" s="13" t="n"/>
      <c r="E140" s="13" t="n"/>
      <c r="F140" s="13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46">
      <c r="A141" s="13" t="n"/>
      <c r="B141" s="13" t="n"/>
      <c r="C141" s="13" t="n"/>
      <c r="D141" s="13" t="n"/>
      <c r="E141" s="13" t="n"/>
      <c r="F141" s="13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46">
      <c r="A142" s="13" t="n"/>
      <c r="B142" s="13" t="n"/>
      <c r="C142" s="13" t="n"/>
      <c r="D142" s="13" t="n"/>
      <c r="E142" s="13" t="n"/>
      <c r="F142" s="13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46">
      <c r="A143" s="13" t="n"/>
      <c r="B143" s="13" t="n"/>
      <c r="C143" s="13" t="n"/>
      <c r="D143" s="13" t="n"/>
      <c r="E143" s="13" t="n"/>
      <c r="F143" s="13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46">
      <c r="A144" s="13" t="n"/>
      <c r="B144" s="13" t="n"/>
      <c r="C144" s="13" t="n"/>
      <c r="D144" s="13" t="n"/>
      <c r="E144" s="13" t="n"/>
      <c r="F144" s="13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46">
      <c r="A145" s="13" t="n"/>
      <c r="B145" s="13" t="n"/>
      <c r="C145" s="13" t="n"/>
      <c r="D145" s="13" t="n"/>
      <c r="E145" s="13" t="n"/>
      <c r="F145" s="13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46">
      <c r="A146" s="13" t="n"/>
      <c r="B146" s="13" t="n"/>
      <c r="C146" s="13" t="n"/>
      <c r="D146" s="13" t="n"/>
      <c r="E146" s="13" t="n"/>
      <c r="F146" s="13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46">
      <c r="A147" s="13" t="n"/>
      <c r="B147" s="13" t="n"/>
      <c r="C147" s="13" t="n"/>
      <c r="D147" s="13" t="n"/>
      <c r="E147" s="13" t="n"/>
      <c r="F147" s="13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46">
      <c r="A148" s="13" t="n"/>
      <c r="B148" s="13" t="n"/>
      <c r="C148" s="13" t="n"/>
      <c r="D148" s="13" t="n"/>
      <c r="E148" s="13" t="n"/>
      <c r="F148" s="13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46">
      <c r="A149" s="13" t="n"/>
      <c r="B149" s="13" t="n"/>
      <c r="C149" s="13" t="n"/>
      <c r="D149" s="13" t="n"/>
      <c r="E149" s="13" t="n"/>
      <c r="F149" s="13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46">
      <c r="A150" s="13" t="n"/>
      <c r="B150" s="13" t="n"/>
      <c r="C150" s="13" t="n"/>
      <c r="D150" s="13" t="n"/>
      <c r="E150" s="13" t="n"/>
      <c r="F150" s="13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46">
      <c r="A151" s="13" t="n"/>
      <c r="B151" s="13" t="n"/>
      <c r="C151" s="13" t="n"/>
      <c r="D151" s="13" t="n"/>
      <c r="E151" s="13" t="n"/>
      <c r="F151" s="13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46">
      <c r="A152" s="13" t="n"/>
      <c r="B152" s="13" t="n"/>
      <c r="C152" s="13" t="n"/>
      <c r="D152" s="13" t="n"/>
      <c r="E152" s="13" t="n"/>
      <c r="F152" s="13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46">
      <c r="A153" s="13" t="n"/>
      <c r="B153" s="13" t="n"/>
      <c r="C153" s="13" t="n"/>
      <c r="D153" s="13" t="n"/>
      <c r="E153" s="13" t="n"/>
      <c r="F153" s="13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46">
      <c r="A154" s="13" t="n"/>
      <c r="B154" s="13" t="n"/>
      <c r="C154" s="13" t="n"/>
      <c r="D154" s="13" t="n"/>
      <c r="E154" s="13" t="n"/>
      <c r="F154" s="13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46">
      <c r="A155" s="13" t="n"/>
      <c r="B155" s="13" t="n"/>
      <c r="C155" s="13" t="n"/>
      <c r="D155" s="13" t="n"/>
      <c r="E155" s="13" t="n"/>
      <c r="F155" s="13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46">
      <c r="A156" s="13" t="n"/>
      <c r="B156" s="13" t="n"/>
      <c r="C156" s="13" t="n"/>
      <c r="D156" s="13" t="n"/>
      <c r="E156" s="13" t="n"/>
      <c r="F156" s="13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46">
      <c r="A157" s="13" t="n"/>
      <c r="B157" s="13" t="n"/>
      <c r="C157" s="13" t="n"/>
      <c r="D157" s="13" t="n"/>
      <c r="E157" s="13" t="n"/>
      <c r="F157" s="13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46">
      <c r="A158" s="13" t="n"/>
      <c r="B158" s="13" t="n"/>
      <c r="C158" s="13" t="n"/>
      <c r="D158" s="13" t="n"/>
      <c r="E158" s="13" t="n"/>
      <c r="F158" s="13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46">
      <c r="A159" s="13" t="n"/>
      <c r="B159" s="13" t="n"/>
      <c r="C159" s="13" t="n"/>
      <c r="D159" s="13" t="n"/>
      <c r="E159" s="13" t="n"/>
      <c r="F159" s="13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46">
      <c r="A160" s="13" t="n"/>
      <c r="B160" s="13" t="n"/>
      <c r="C160" s="13" t="n"/>
      <c r="D160" s="13" t="n"/>
      <c r="E160" s="13" t="n"/>
      <c r="F160" s="13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46">
      <c r="A161" s="13" t="n"/>
      <c r="B161" s="13" t="n"/>
      <c r="C161" s="13" t="n"/>
      <c r="D161" s="13" t="n"/>
      <c r="E161" s="13" t="n"/>
      <c r="F161" s="13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46">
      <c r="A162" s="13" t="n"/>
      <c r="B162" s="13" t="n"/>
      <c r="C162" s="13" t="n"/>
      <c r="D162" s="13" t="n"/>
      <c r="E162" s="13" t="n"/>
      <c r="F162" s="13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46">
      <c r="A163" s="13" t="n"/>
      <c r="B163" s="13" t="n"/>
      <c r="C163" s="13" t="n"/>
      <c r="D163" s="13" t="n"/>
      <c r="E163" s="13" t="n"/>
      <c r="F163" s="13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46">
      <c r="A164" s="13" t="n"/>
      <c r="B164" s="13" t="n"/>
      <c r="C164" s="13" t="n"/>
      <c r="D164" s="13" t="n"/>
      <c r="E164" s="13" t="n"/>
      <c r="F164" s="13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46">
      <c r="A165" s="13" t="n"/>
      <c r="B165" s="13" t="n"/>
      <c r="C165" s="13" t="n"/>
      <c r="D165" s="13" t="n"/>
      <c r="E165" s="13" t="n"/>
      <c r="F165" s="13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46">
      <c r="A166" s="13" t="n"/>
      <c r="B166" s="13" t="n"/>
      <c r="C166" s="13" t="n"/>
      <c r="D166" s="13" t="n"/>
      <c r="E166" s="13" t="n"/>
      <c r="F166" s="13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46">
      <c r="A167" s="13" t="n"/>
      <c r="B167" s="13" t="n"/>
      <c r="C167" s="13" t="n"/>
      <c r="D167" s="13" t="n"/>
      <c r="E167" s="13" t="n"/>
      <c r="F167" s="13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46">
      <c r="A168" s="13" t="n"/>
      <c r="B168" s="13" t="n"/>
      <c r="C168" s="13" t="n"/>
      <c r="D168" s="13" t="n"/>
      <c r="E168" s="13" t="n"/>
      <c r="F168" s="13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46">
      <c r="A169" s="13" t="n"/>
      <c r="B169" s="13" t="n"/>
      <c r="C169" s="13" t="n"/>
      <c r="D169" s="13" t="n"/>
      <c r="E169" s="13" t="n"/>
      <c r="F169" s="13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46">
      <c r="A170" s="13" t="n"/>
      <c r="B170" s="13" t="n"/>
      <c r="C170" s="13" t="n"/>
      <c r="D170" s="13" t="n"/>
      <c r="E170" s="13" t="n"/>
      <c r="F170" s="13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46">
      <c r="A171" s="13" t="n"/>
      <c r="B171" s="13" t="n"/>
      <c r="C171" s="13" t="n"/>
      <c r="D171" s="13" t="n"/>
      <c r="E171" s="13" t="n"/>
      <c r="F171" s="13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46">
      <c r="A172" s="13" t="n"/>
      <c r="B172" s="13" t="n"/>
      <c r="C172" s="13" t="n"/>
      <c r="D172" s="13" t="n"/>
      <c r="E172" s="13" t="n"/>
      <c r="F172" s="13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46">
      <c r="A173" s="13" t="n"/>
      <c r="B173" s="13" t="n"/>
      <c r="C173" s="13" t="n"/>
      <c r="D173" s="13" t="n"/>
      <c r="E173" s="13" t="n"/>
      <c r="F173" s="13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46">
      <c r="A174" s="13" t="n"/>
      <c r="B174" s="13" t="n"/>
      <c r="C174" s="13" t="n"/>
      <c r="D174" s="13" t="n"/>
      <c r="E174" s="13" t="n"/>
      <c r="F174" s="13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46">
      <c r="A175" s="13" t="n"/>
      <c r="B175" s="13" t="n"/>
      <c r="C175" s="13" t="n"/>
      <c r="D175" s="13" t="n"/>
      <c r="E175" s="13" t="n"/>
      <c r="F175" s="13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46">
      <c r="A176" s="13" t="n"/>
      <c r="B176" s="13" t="n"/>
      <c r="C176" s="13" t="n"/>
      <c r="D176" s="13" t="n"/>
      <c r="E176" s="13" t="n"/>
      <c r="F176" s="13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46">
      <c r="A177" s="13" t="n"/>
      <c r="B177" s="13" t="n"/>
      <c r="C177" s="13" t="n"/>
      <c r="D177" s="13" t="n"/>
      <c r="E177" s="13" t="n"/>
      <c r="F177" s="13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46">
      <c r="A178" s="13" t="n"/>
      <c r="B178" s="13" t="n"/>
      <c r="C178" s="13" t="n"/>
      <c r="D178" s="13" t="n"/>
      <c r="E178" s="13" t="n"/>
      <c r="F178" s="13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46">
      <c r="A179" s="13" t="n"/>
      <c r="B179" s="13" t="n"/>
      <c r="C179" s="13" t="n"/>
      <c r="D179" s="13" t="n"/>
      <c r="E179" s="13" t="n"/>
      <c r="F179" s="13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46">
      <c r="A180" s="13" t="n"/>
      <c r="B180" s="13" t="n"/>
      <c r="C180" s="13" t="n"/>
      <c r="D180" s="13" t="n"/>
      <c r="E180" s="13" t="n"/>
      <c r="F180" s="13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46">
      <c r="A181" s="13" t="n"/>
      <c r="B181" s="13" t="n"/>
      <c r="C181" s="13" t="n"/>
      <c r="D181" s="13" t="n"/>
      <c r="E181" s="13" t="n"/>
      <c r="F181" s="13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46">
      <c r="A182" s="13" t="n"/>
      <c r="B182" s="13" t="n"/>
      <c r="C182" s="13" t="n"/>
      <c r="D182" s="13" t="n"/>
      <c r="E182" s="13" t="n"/>
      <c r="F182" s="13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46">
      <c r="A183" s="13" t="n"/>
      <c r="B183" s="13" t="n"/>
      <c r="C183" s="13" t="n"/>
      <c r="D183" s="13" t="n"/>
      <c r="E183" s="13" t="n"/>
      <c r="F183" s="13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46">
      <c r="A184" s="13" t="n"/>
      <c r="B184" s="13" t="n"/>
      <c r="C184" s="13" t="n"/>
      <c r="D184" s="13" t="n"/>
      <c r="E184" s="13" t="n"/>
      <c r="F184" s="13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46">
      <c r="A185" s="13" t="n"/>
      <c r="B185" s="13" t="n"/>
      <c r="C185" s="13" t="n"/>
      <c r="D185" s="13" t="n"/>
      <c r="E185" s="13" t="n"/>
      <c r="F185" s="13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46">
      <c r="A186" s="13" t="n"/>
      <c r="B186" s="13" t="n"/>
      <c r="C186" s="13" t="n"/>
      <c r="D186" s="13" t="n"/>
      <c r="E186" s="13" t="n"/>
      <c r="F186" s="13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46">
      <c r="A187" s="13" t="n"/>
      <c r="B187" s="13" t="n"/>
      <c r="C187" s="13" t="n"/>
      <c r="D187" s="13" t="n"/>
      <c r="E187" s="13" t="n"/>
      <c r="F187" s="13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46">
      <c r="A188" s="13" t="n"/>
      <c r="B188" s="13" t="n"/>
      <c r="C188" s="13" t="n"/>
      <c r="D188" s="13" t="n"/>
      <c r="E188" s="13" t="n"/>
      <c r="F188" s="13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46">
      <c r="A189" s="13" t="n"/>
      <c r="B189" s="13" t="n"/>
      <c r="C189" s="13" t="n"/>
      <c r="D189" s="13" t="n"/>
      <c r="E189" s="13" t="n"/>
      <c r="F189" s="13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46">
      <c r="A190" s="13" t="n"/>
      <c r="B190" s="13" t="n"/>
      <c r="C190" s="13" t="n"/>
      <c r="D190" s="13" t="n"/>
      <c r="E190" s="13" t="n"/>
      <c r="F190" s="13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46">
      <c r="A191" s="13" t="n"/>
      <c r="B191" s="13" t="n"/>
      <c r="C191" s="13" t="n"/>
      <c r="D191" s="13" t="n"/>
      <c r="E191" s="13" t="n"/>
      <c r="F191" s="13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46">
      <c r="A192" s="13" t="n"/>
      <c r="B192" s="13" t="n"/>
      <c r="C192" s="13" t="n"/>
      <c r="D192" s="13" t="n"/>
      <c r="E192" s="13" t="n"/>
      <c r="F192" s="13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46">
      <c r="A193" s="13" t="n"/>
      <c r="B193" s="13" t="n"/>
      <c r="C193" s="13" t="n"/>
      <c r="D193" s="13" t="n"/>
      <c r="E193" s="13" t="n"/>
      <c r="F193" s="13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46">
      <c r="A194" s="13" t="n"/>
      <c r="B194" s="13" t="n"/>
      <c r="C194" s="13" t="n"/>
      <c r="D194" s="13" t="n"/>
      <c r="E194" s="13" t="n"/>
      <c r="F194" s="13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46">
      <c r="A195" s="13" t="n"/>
      <c r="B195" s="13" t="n"/>
      <c r="C195" s="13" t="n"/>
      <c r="D195" s="13" t="n"/>
      <c r="E195" s="13" t="n"/>
      <c r="F195" s="13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46">
      <c r="A196" s="13" t="n"/>
      <c r="B196" s="13" t="n"/>
      <c r="C196" s="13" t="n"/>
      <c r="D196" s="13" t="n"/>
      <c r="E196" s="13" t="n"/>
      <c r="F196" s="13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46">
      <c r="A197" s="13" t="n"/>
      <c r="B197" s="13" t="n"/>
      <c r="C197" s="13" t="n"/>
      <c r="D197" s="13" t="n"/>
      <c r="E197" s="13" t="n"/>
      <c r="F197" s="13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46">
      <c r="A198" s="13" t="n"/>
      <c r="B198" s="13" t="n"/>
      <c r="C198" s="13" t="n"/>
      <c r="D198" s="13" t="n"/>
      <c r="E198" s="13" t="n"/>
      <c r="F198" s="13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46">
      <c r="A199" s="13" t="n"/>
      <c r="B199" s="13" t="n"/>
      <c r="C199" s="13" t="n"/>
      <c r="D199" s="13" t="n"/>
      <c r="E199" s="13" t="n"/>
      <c r="F199" s="13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46">
      <c r="A200" s="13" t="n"/>
      <c r="B200" s="13" t="n"/>
      <c r="C200" s="13" t="n"/>
      <c r="D200" s="13" t="n"/>
      <c r="E200" s="13" t="n"/>
      <c r="F200" s="13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46">
      <c r="A201" s="13" t="n"/>
      <c r="B201" s="13" t="n"/>
      <c r="C201" s="13" t="n"/>
      <c r="D201" s="13" t="n"/>
      <c r="E201" s="13" t="n"/>
      <c r="F201" s="13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46">
      <c r="A202" s="13" t="n"/>
      <c r="B202" s="13" t="n"/>
      <c r="C202" s="13" t="n"/>
      <c r="D202" s="13" t="n"/>
      <c r="E202" s="13" t="n"/>
      <c r="F202" s="13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46">
      <c r="A203" s="13" t="n"/>
      <c r="B203" s="13" t="n"/>
      <c r="C203" s="13" t="n"/>
      <c r="D203" s="13" t="n"/>
      <c r="E203" s="13" t="n"/>
      <c r="F203" s="13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46">
      <c r="A204" s="13" t="n"/>
      <c r="B204" s="13" t="n"/>
      <c r="C204" s="13" t="n"/>
      <c r="D204" s="13" t="n"/>
      <c r="E204" s="13" t="n"/>
      <c r="F204" s="13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46">
      <c r="A205" s="13" t="n"/>
      <c r="B205" s="13" t="n"/>
      <c r="C205" s="13" t="n"/>
      <c r="D205" s="13" t="n"/>
      <c r="E205" s="13" t="n"/>
      <c r="F205" s="13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46">
      <c r="A206" s="13" t="n"/>
      <c r="B206" s="13" t="n"/>
      <c r="C206" s="13" t="n"/>
      <c r="D206" s="13" t="n"/>
      <c r="E206" s="13" t="n"/>
      <c r="F206" s="13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46">
      <c r="A207" s="13" t="n"/>
      <c r="B207" s="13" t="n"/>
      <c r="C207" s="13" t="n"/>
      <c r="D207" s="13" t="n"/>
      <c r="E207" s="13" t="n"/>
      <c r="F207" s="13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46">
      <c r="A208" s="13" t="n"/>
      <c r="B208" s="13" t="n"/>
      <c r="C208" s="13" t="n"/>
      <c r="D208" s="13" t="n"/>
      <c r="E208" s="13" t="n"/>
      <c r="F208" s="13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46">
      <c r="A209" s="13" t="n"/>
      <c r="B209" s="13" t="n"/>
      <c r="C209" s="13" t="n"/>
      <c r="D209" s="13" t="n"/>
      <c r="E209" s="13" t="n"/>
      <c r="F209" s="13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46">
      <c r="A210" s="13" t="n"/>
      <c r="B210" s="13" t="n"/>
      <c r="C210" s="13" t="n"/>
      <c r="D210" s="13" t="n"/>
      <c r="E210" s="13" t="n"/>
      <c r="F210" s="13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46">
      <c r="A211" s="13" t="n"/>
      <c r="B211" s="13" t="n"/>
      <c r="C211" s="13" t="n"/>
      <c r="D211" s="13" t="n"/>
      <c r="E211" s="13" t="n"/>
      <c r="F211" s="13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46">
      <c r="A212" s="13" t="n"/>
      <c r="B212" s="13" t="n"/>
      <c r="C212" s="13" t="n"/>
      <c r="D212" s="13" t="n"/>
      <c r="E212" s="13" t="n"/>
      <c r="F212" s="13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46">
      <c r="A213" s="13" t="n"/>
      <c r="B213" s="13" t="n"/>
      <c r="C213" s="13" t="n"/>
      <c r="D213" s="13" t="n"/>
      <c r="E213" s="13" t="n"/>
      <c r="F213" s="13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46">
      <c r="A214" s="13" t="n"/>
      <c r="B214" s="13" t="n"/>
      <c r="C214" s="13" t="n"/>
      <c r="D214" s="13" t="n"/>
      <c r="E214" s="13" t="n"/>
      <c r="F214" s="13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46">
      <c r="A215" s="13" t="n"/>
      <c r="B215" s="13" t="n"/>
      <c r="C215" s="13" t="n"/>
      <c r="D215" s="13" t="n"/>
      <c r="E215" s="13" t="n"/>
      <c r="F215" s="13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46">
      <c r="A216" s="13" t="n"/>
      <c r="B216" s="13" t="n"/>
      <c r="C216" s="13" t="n"/>
      <c r="D216" s="13" t="n"/>
      <c r="E216" s="13" t="n"/>
      <c r="F216" s="13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46">
      <c r="A217" s="13" t="n"/>
      <c r="B217" s="13" t="n"/>
      <c r="C217" s="13" t="n"/>
      <c r="D217" s="13" t="n"/>
      <c r="E217" s="13" t="n"/>
      <c r="F217" s="13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46">
      <c r="A218" s="13" t="n"/>
      <c r="B218" s="13" t="n"/>
      <c r="C218" s="13" t="n"/>
      <c r="D218" s="13" t="n"/>
      <c r="E218" s="13" t="n"/>
      <c r="F218" s="13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46">
      <c r="A219" s="13" t="n"/>
      <c r="B219" s="13" t="n"/>
      <c r="C219" s="13" t="n"/>
      <c r="D219" s="13" t="n"/>
      <c r="E219" s="13" t="n"/>
      <c r="F219" s="13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46">
      <c r="A220" s="13" t="n"/>
      <c r="B220" s="13" t="n"/>
      <c r="C220" s="13" t="n"/>
      <c r="D220" s="13" t="n"/>
      <c r="E220" s="13" t="n"/>
      <c r="F220" s="13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46">
      <c r="A221" s="13" t="n"/>
      <c r="B221" s="13" t="n"/>
      <c r="C221" s="13" t="n"/>
      <c r="D221" s="13" t="n"/>
      <c r="E221" s="13" t="n"/>
      <c r="F221" s="13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46">
      <c r="A222" s="13" t="n"/>
      <c r="B222" s="13" t="n"/>
      <c r="C222" s="13" t="n"/>
      <c r="D222" s="13" t="n"/>
      <c r="E222" s="13" t="n"/>
      <c r="F222" s="13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46">
      <c r="A223" s="13" t="n"/>
      <c r="B223" s="13" t="n"/>
      <c r="C223" s="13" t="n"/>
      <c r="D223" s="13" t="n"/>
      <c r="E223" s="13" t="n"/>
      <c r="F223" s="13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46">
      <c r="A224" s="13" t="n"/>
      <c r="B224" s="13" t="n"/>
      <c r="C224" s="13" t="n"/>
      <c r="D224" s="13" t="n"/>
      <c r="E224" s="13" t="n"/>
      <c r="F224" s="13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46">
      <c r="A225" s="13" t="n"/>
      <c r="B225" s="13" t="n"/>
      <c r="C225" s="13" t="n"/>
      <c r="D225" s="13" t="n"/>
      <c r="E225" s="13" t="n"/>
      <c r="F225" s="13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46">
      <c r="A226" s="13" t="n"/>
      <c r="B226" s="13" t="n"/>
      <c r="C226" s="13" t="n"/>
      <c r="D226" s="13" t="n"/>
      <c r="E226" s="13" t="n"/>
      <c r="F226" s="13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46">
      <c r="A227" s="13" t="n"/>
      <c r="B227" s="13" t="n"/>
      <c r="C227" s="13" t="n"/>
      <c r="D227" s="13" t="n"/>
      <c r="E227" s="13" t="n"/>
      <c r="F227" s="13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46">
      <c r="A228" s="13" t="n"/>
      <c r="B228" s="13" t="n"/>
      <c r="C228" s="13" t="n"/>
      <c r="D228" s="13" t="n"/>
      <c r="E228" s="13" t="n"/>
      <c r="F228" s="13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46">
      <c r="A229" s="13" t="n"/>
      <c r="B229" s="13" t="n"/>
      <c r="C229" s="13" t="n"/>
      <c r="D229" s="13" t="n"/>
      <c r="E229" s="13" t="n"/>
      <c r="F229" s="13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46">
      <c r="A230" s="13" t="n"/>
      <c r="B230" s="13" t="n"/>
      <c r="C230" s="13" t="n"/>
      <c r="D230" s="13" t="n"/>
      <c r="E230" s="13" t="n"/>
      <c r="F230" s="13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46">
      <c r="A231" s="13" t="n"/>
      <c r="B231" s="13" t="n"/>
      <c r="C231" s="13" t="n"/>
      <c r="D231" s="13" t="n"/>
      <c r="E231" s="13" t="n"/>
      <c r="F231" s="13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46">
      <c r="A232" s="13" t="n"/>
      <c r="B232" s="13" t="n"/>
      <c r="C232" s="13" t="n"/>
      <c r="D232" s="13" t="n"/>
      <c r="E232" s="13" t="n"/>
      <c r="F232" s="13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46">
      <c r="A233" s="13" t="n"/>
      <c r="B233" s="13" t="n"/>
      <c r="C233" s="13" t="n"/>
      <c r="D233" s="13" t="n"/>
      <c r="E233" s="13" t="n"/>
      <c r="F233" s="13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46">
      <c r="A234" s="13" t="n"/>
      <c r="B234" s="13" t="n"/>
      <c r="C234" s="13" t="n"/>
      <c r="D234" s="13" t="n"/>
      <c r="E234" s="13" t="n"/>
      <c r="F234" s="13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46">
      <c r="A235" s="13" t="n"/>
      <c r="B235" s="13" t="n"/>
      <c r="C235" s="13" t="n"/>
      <c r="D235" s="13" t="n"/>
      <c r="E235" s="13" t="n"/>
      <c r="F235" s="13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46">
      <c r="A236" s="13" t="n"/>
      <c r="B236" s="13" t="n"/>
      <c r="C236" s="13" t="n"/>
      <c r="D236" s="13" t="n"/>
      <c r="E236" s="13" t="n"/>
      <c r="F236" s="13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46">
      <c r="A237" s="13" t="n"/>
      <c r="B237" s="13" t="n"/>
      <c r="C237" s="13" t="n"/>
      <c r="D237" s="13" t="n"/>
      <c r="E237" s="13" t="n"/>
      <c r="F237" s="13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46">
      <c r="A238" s="13" t="n"/>
      <c r="B238" s="13" t="n"/>
      <c r="C238" s="13" t="n"/>
      <c r="D238" s="13" t="n"/>
      <c r="E238" s="13" t="n"/>
      <c r="F238" s="13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46">
      <c r="A239" s="13" t="n"/>
      <c r="B239" s="13" t="n"/>
      <c r="C239" s="13" t="n"/>
      <c r="D239" s="13" t="n"/>
      <c r="E239" s="13" t="n"/>
      <c r="F239" s="13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46">
      <c r="A240" s="13" t="n"/>
      <c r="B240" s="13" t="n"/>
      <c r="C240" s="13" t="n"/>
      <c r="D240" s="13" t="n"/>
      <c r="E240" s="13" t="n"/>
      <c r="F240" s="13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46">
      <c r="A241" s="13" t="n"/>
      <c r="B241" s="13" t="n"/>
      <c r="C241" s="13" t="n"/>
      <c r="D241" s="13" t="n"/>
      <c r="E241" s="13" t="n"/>
      <c r="F241" s="13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46">
      <c r="A242" s="13" t="n"/>
      <c r="B242" s="13" t="n"/>
      <c r="C242" s="13" t="n"/>
      <c r="D242" s="13" t="n"/>
      <c r="E242" s="13" t="n"/>
      <c r="F242" s="13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46">
      <c r="A243" s="13" t="n"/>
      <c r="B243" s="13" t="n"/>
      <c r="C243" s="13" t="n"/>
      <c r="D243" s="13" t="n"/>
      <c r="E243" s="13" t="n"/>
      <c r="F243" s="13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46">
      <c r="A244" s="13" t="n"/>
      <c r="B244" s="13" t="n"/>
      <c r="C244" s="13" t="n"/>
      <c r="D244" s="13" t="n"/>
      <c r="E244" s="13" t="n"/>
      <c r="F244" s="13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46">
      <c r="A245" s="13" t="n"/>
      <c r="B245" s="13" t="n"/>
      <c r="C245" s="13" t="n"/>
      <c r="D245" s="13" t="n"/>
      <c r="E245" s="13" t="n"/>
      <c r="F245" s="13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46">
      <c r="A246" s="13" t="n"/>
      <c r="B246" s="13" t="n"/>
      <c r="C246" s="13" t="n"/>
      <c r="D246" s="13" t="n"/>
      <c r="E246" s="13" t="n"/>
      <c r="F246" s="13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46">
      <c r="A247" s="13" t="n"/>
      <c r="B247" s="13" t="n"/>
      <c r="C247" s="13" t="n"/>
      <c r="D247" s="13" t="n"/>
      <c r="E247" s="13" t="n"/>
      <c r="F247" s="13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46">
      <c r="A248" s="13" t="n"/>
      <c r="B248" s="13" t="n"/>
      <c r="C248" s="13" t="n"/>
      <c r="D248" s="13" t="n"/>
      <c r="E248" s="13" t="n"/>
      <c r="F248" s="13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46">
      <c r="A249" s="13" t="n"/>
      <c r="B249" s="13" t="n"/>
      <c r="C249" s="13" t="n"/>
      <c r="D249" s="13" t="n"/>
      <c r="E249" s="13" t="n"/>
      <c r="F249" s="13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46">
      <c r="A250" s="13" t="n"/>
      <c r="B250" s="13" t="n"/>
      <c r="C250" s="13" t="n"/>
      <c r="D250" s="13" t="n"/>
      <c r="E250" s="13" t="n"/>
      <c r="F250" s="13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46">
      <c r="A251" s="13" t="n"/>
      <c r="B251" s="13" t="n"/>
      <c r="C251" s="13" t="n"/>
      <c r="D251" s="13" t="n"/>
      <c r="E251" s="13" t="n"/>
      <c r="F251" s="13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46">
      <c r="A252" s="13" t="n"/>
      <c r="B252" s="13" t="n"/>
      <c r="C252" s="13" t="n"/>
      <c r="D252" s="13" t="n"/>
      <c r="E252" s="13" t="n"/>
      <c r="F252" s="13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46">
      <c r="A253" s="13" t="n"/>
      <c r="B253" s="13" t="n"/>
      <c r="C253" s="13" t="n"/>
      <c r="D253" s="13" t="n"/>
      <c r="E253" s="13" t="n"/>
      <c r="F253" s="13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46">
      <c r="A254" s="13" t="n"/>
      <c r="B254" s="13" t="n"/>
      <c r="C254" s="13" t="n"/>
      <c r="D254" s="13" t="n"/>
      <c r="E254" s="13" t="n"/>
      <c r="F254" s="13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46">
      <c r="A255" s="13" t="n"/>
      <c r="B255" s="13" t="n"/>
      <c r="C255" s="13" t="n"/>
      <c r="D255" s="13" t="n"/>
      <c r="E255" s="13" t="n"/>
      <c r="F255" s="13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46">
      <c r="A256" s="13" t="n"/>
      <c r="B256" s="13" t="n"/>
      <c r="C256" s="13" t="n"/>
      <c r="D256" s="13" t="n"/>
      <c r="E256" s="13" t="n"/>
      <c r="F256" s="13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46">
      <c r="A257" s="13" t="n"/>
      <c r="B257" s="13" t="n"/>
      <c r="C257" s="13" t="n"/>
      <c r="D257" s="13" t="n"/>
      <c r="E257" s="13" t="n"/>
      <c r="F257" s="13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46">
      <c r="A258" s="13" t="n"/>
      <c r="B258" s="13" t="n"/>
      <c r="C258" s="13" t="n"/>
      <c r="D258" s="13" t="n"/>
      <c r="E258" s="13" t="n"/>
      <c r="F258" s="13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46">
      <c r="A259" s="13" t="n"/>
      <c r="B259" s="13" t="n"/>
      <c r="C259" s="13" t="n"/>
      <c r="D259" s="13" t="n"/>
      <c r="E259" s="13" t="n"/>
      <c r="F259" s="13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46">
      <c r="A260" s="13" t="n"/>
      <c r="B260" s="13" t="n"/>
      <c r="C260" s="13" t="n"/>
      <c r="D260" s="13" t="n"/>
      <c r="E260" s="13" t="n"/>
      <c r="F260" s="13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46">
      <c r="A261" s="13" t="n"/>
      <c r="B261" s="13" t="n"/>
      <c r="C261" s="13" t="n"/>
      <c r="D261" s="13" t="n"/>
      <c r="E261" s="13" t="n"/>
      <c r="F261" s="13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46">
      <c r="A262" s="13" t="n"/>
      <c r="B262" s="13" t="n"/>
      <c r="C262" s="13" t="n"/>
      <c r="D262" s="13" t="n"/>
      <c r="E262" s="13" t="n"/>
      <c r="F262" s="13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46">
      <c r="A263" s="13" t="n"/>
      <c r="B263" s="13" t="n"/>
      <c r="C263" s="13" t="n"/>
      <c r="D263" s="13" t="n"/>
      <c r="E263" s="13" t="n"/>
      <c r="F263" s="13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46">
      <c r="A264" s="13" t="n"/>
      <c r="B264" s="13" t="n"/>
      <c r="C264" s="13" t="n"/>
      <c r="D264" s="13" t="n"/>
      <c r="E264" s="13" t="n"/>
      <c r="F264" s="13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46">
      <c r="A265" s="13" t="n"/>
      <c r="B265" s="13" t="n"/>
      <c r="C265" s="13" t="n"/>
      <c r="D265" s="13" t="n"/>
      <c r="E265" s="13" t="n"/>
      <c r="F265" s="13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46">
      <c r="A266" s="13" t="n"/>
      <c r="B266" s="13" t="n"/>
      <c r="C266" s="13" t="n"/>
      <c r="D266" s="13" t="n"/>
      <c r="E266" s="13" t="n"/>
      <c r="F266" s="13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46">
      <c r="A267" s="13" t="n"/>
      <c r="B267" s="13" t="n"/>
      <c r="C267" s="13" t="n"/>
      <c r="D267" s="13" t="n"/>
      <c r="E267" s="13" t="n"/>
      <c r="F267" s="13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46">
      <c r="A268" s="13" t="n"/>
      <c r="B268" s="13" t="n"/>
      <c r="C268" s="13" t="n"/>
      <c r="D268" s="13" t="n"/>
      <c r="E268" s="13" t="n"/>
      <c r="F268" s="13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46">
      <c r="A269" s="13" t="n"/>
      <c r="B269" s="13" t="n"/>
      <c r="C269" s="13" t="n"/>
      <c r="D269" s="13" t="n"/>
      <c r="E269" s="13" t="n"/>
      <c r="F269" s="13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46">
      <c r="A270" s="13" t="n"/>
      <c r="B270" s="13" t="n"/>
      <c r="C270" s="13" t="n"/>
      <c r="D270" s="13" t="n"/>
      <c r="E270" s="13" t="n"/>
      <c r="F270" s="13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46">
      <c r="A271" s="13" t="n"/>
      <c r="B271" s="13" t="n"/>
      <c r="C271" s="13" t="n"/>
      <c r="D271" s="13" t="n"/>
      <c r="E271" s="13" t="n"/>
      <c r="F271" s="13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46">
      <c r="A272" s="13" t="n"/>
      <c r="B272" s="13" t="n"/>
      <c r="C272" s="13" t="n"/>
      <c r="D272" s="13" t="n"/>
      <c r="E272" s="13" t="n"/>
      <c r="F272" s="13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46">
      <c r="A273" s="13" t="n"/>
      <c r="B273" s="13" t="n"/>
      <c r="C273" s="13" t="n"/>
      <c r="D273" s="13" t="n"/>
      <c r="E273" s="13" t="n"/>
      <c r="F273" s="13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46">
      <c r="A274" s="13" t="n"/>
      <c r="B274" s="13" t="n"/>
      <c r="C274" s="13" t="n"/>
      <c r="D274" s="13" t="n"/>
      <c r="E274" s="13" t="n"/>
      <c r="F274" s="13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46">
      <c r="A275" s="13" t="n"/>
      <c r="B275" s="13" t="n"/>
      <c r="C275" s="13" t="n"/>
      <c r="D275" s="13" t="n"/>
      <c r="E275" s="13" t="n"/>
      <c r="F275" s="13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46">
      <c r="A276" s="13" t="n"/>
      <c r="B276" s="13" t="n"/>
      <c r="C276" s="13" t="n"/>
      <c r="D276" s="13" t="n"/>
      <c r="E276" s="13" t="n"/>
      <c r="F276" s="13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46">
      <c r="A277" s="13" t="n"/>
      <c r="B277" s="13" t="n"/>
      <c r="C277" s="13" t="n"/>
      <c r="D277" s="13" t="n"/>
      <c r="E277" s="13" t="n"/>
      <c r="F277" s="13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46">
      <c r="A278" s="13" t="n"/>
      <c r="B278" s="13" t="n"/>
      <c r="C278" s="13" t="n"/>
      <c r="D278" s="13" t="n"/>
      <c r="E278" s="13" t="n"/>
      <c r="F278" s="13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46">
      <c r="A279" s="13" t="n"/>
      <c r="B279" s="13" t="n"/>
      <c r="C279" s="13" t="n"/>
      <c r="D279" s="13" t="n"/>
      <c r="E279" s="13" t="n"/>
      <c r="F279" s="13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46">
      <c r="A280" s="13" t="n"/>
      <c r="B280" s="13" t="n"/>
      <c r="C280" s="13" t="n"/>
      <c r="D280" s="13" t="n"/>
      <c r="E280" s="13" t="n"/>
      <c r="F280" s="13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46">
      <c r="A281" s="13" t="n"/>
      <c r="B281" s="13" t="n"/>
      <c r="C281" s="13" t="n"/>
      <c r="D281" s="13" t="n"/>
      <c r="E281" s="13" t="n"/>
      <c r="F281" s="13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46">
      <c r="A282" s="13" t="n"/>
      <c r="B282" s="13" t="n"/>
      <c r="C282" s="13" t="n"/>
      <c r="D282" s="13" t="n"/>
      <c r="E282" s="13" t="n"/>
      <c r="F282" s="13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46">
      <c r="A283" s="13" t="n"/>
      <c r="B283" s="13" t="n"/>
      <c r="C283" s="13" t="n"/>
      <c r="D283" s="13" t="n"/>
      <c r="E283" s="13" t="n"/>
      <c r="F283" s="13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46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46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4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46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46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46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46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46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46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46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46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46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4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46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46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46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46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46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46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46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46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46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4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46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46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46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46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46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46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46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46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46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4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46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46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46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46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46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46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46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46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46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4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46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46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46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46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46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46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46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46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46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4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46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46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46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46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46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46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46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46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46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46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46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46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46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46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46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46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46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46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4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46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46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46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46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46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46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46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46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46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4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46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46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46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46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46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46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46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46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46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4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46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46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46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46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46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46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46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46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46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4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46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46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46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46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46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46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46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46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46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4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46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46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46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46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46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46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46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46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46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4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46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46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46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46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46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46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46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46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46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4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46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46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46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46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46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46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46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46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46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4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46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46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46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46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46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46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46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46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46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4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46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46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46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46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46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46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46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46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46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46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46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46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46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46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46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46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46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46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4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46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46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46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46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46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46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46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46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46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4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46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46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46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46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46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46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46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46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46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4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46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46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46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46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46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46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46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46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46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4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46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46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46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46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46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46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46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46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46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4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46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46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46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46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46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46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46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46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46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4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46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46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46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46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46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46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46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46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46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4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46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46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46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46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46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46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46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46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46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4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46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46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46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46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46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46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46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46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46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4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46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46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46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46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46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46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46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46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46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4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46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46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46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46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46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46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46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46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46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4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46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46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46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46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46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46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46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46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46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4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46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46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46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46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46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46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46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46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46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4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46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46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46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46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46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46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46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46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46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4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46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46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46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46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46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46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46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46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46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4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46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46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46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46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46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46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46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46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46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4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46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46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46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46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46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46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46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46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46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4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46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46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46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46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46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46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46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46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46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4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46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46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46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46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46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46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46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46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46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4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46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46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46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46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46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46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46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46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46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4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46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46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46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46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46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46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46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46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46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4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46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46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46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46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46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46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46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46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46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4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46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46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46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46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46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46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46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46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46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4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46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46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46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46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46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46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46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46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46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4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46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46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46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46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46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46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46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46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46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4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46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46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46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46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46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46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46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46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46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4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46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46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46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46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46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46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46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46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46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4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46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46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46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46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46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46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46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46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46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4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46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46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46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46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46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46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46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46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46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4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46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46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46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46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46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46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46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46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46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4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46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46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46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46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46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46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46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46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46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4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46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46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46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46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46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46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46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46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46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4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46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46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46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46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46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46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46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46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46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4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46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46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46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46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46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46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46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46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46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4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46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46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46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46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46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46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46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46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46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4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46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46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46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46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46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46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46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46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46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4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46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46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46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46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46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46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46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46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46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4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46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46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46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46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46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46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46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46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46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4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46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46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46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46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46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46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46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46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46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4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46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46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46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46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46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46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46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46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46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4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46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46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46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46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46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46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46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46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46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4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46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46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46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46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46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46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46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46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46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4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46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46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46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46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46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46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46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46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46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4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46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46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46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46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46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46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46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46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46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4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46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46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46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46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46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46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46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46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46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4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46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46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46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46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46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46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46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46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46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4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46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46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46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46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46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46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46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46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46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4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46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46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46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46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46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46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46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46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46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4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46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46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46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46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46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46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46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46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46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4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46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46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46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46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46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46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46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46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46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4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46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46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46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46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46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46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46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46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46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4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46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46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46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46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46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46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46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46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46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4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46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46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46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46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46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46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46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46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46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4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46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46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46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46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46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46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46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46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46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4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46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46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46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46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46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46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46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46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46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4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46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46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46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46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mergeCells count="8">
    <mergeCell ref="A2:F2"/>
    <mergeCell ref="A36:F36"/>
    <mergeCell ref="A1:F1"/>
    <mergeCell ref="A12:F12"/>
    <mergeCell ref="A4:F4"/>
    <mergeCell ref="A21:F21"/>
    <mergeCell ref="A53:F53"/>
    <mergeCell ref="A59:F5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00B050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000030517578" defaultRowHeight="15"/>
  <cols>
    <col width="7" customWidth="1" style="46" min="1" max="1"/>
    <col width="38.70999908447266" customWidth="1" style="46" min="2" max="2"/>
    <col width="28" customWidth="1" style="46" min="3" max="3"/>
    <col width="24" customWidth="1" style="46" min="4" max="4"/>
    <col width="28" customWidth="1" style="46" min="5" max="5"/>
    <col width="24" customWidth="1" style="46" min="6" max="6"/>
    <col width="12" customWidth="1" style="46" min="7" max="7"/>
    <col width="10" customWidth="1" style="46" min="8" max="8"/>
    <col width="30" customWidth="1" style="46" min="9" max="9"/>
    <col width="8" customWidth="1" style="46" min="10" max="10"/>
    <col width="14" customWidth="1" style="46" min="11" max="12"/>
    <col width="38" customWidth="1" style="46" min="13" max="13"/>
    <col width="14.56999969482422" customWidth="1" style="46" min="14" max="14"/>
  </cols>
  <sheetData>
    <row r="1" ht="27.75" customHeight="1" s="46">
      <c r="A1" s="52" t="inlineStr">
        <is>
          <t>AES-220  |  Firewall Rules  |  Fleet → Management Domain &amp; WLD ESXi Hosts</t>
        </is>
      </c>
      <c r="B1" s="48" t="n"/>
      <c r="C1" s="48" t="n"/>
      <c r="D1" s="48" t="n"/>
      <c r="E1" s="48" t="n"/>
      <c r="F1" s="48" t="n"/>
      <c r="G1" s="48" t="n"/>
      <c r="H1" s="48" t="n"/>
      <c r="I1" s="48" t="n"/>
      <c r="J1" s="48" t="n"/>
      <c r="K1" s="48" t="n"/>
      <c r="L1" s="48" t="n"/>
      <c r="M1" s="48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8" customHeight="1" s="46">
      <c r="A2" s="49" t="inlineStr">
        <is>
          <t>Source IP and Destination IP auto-populate from 'IP Input Sheet'.  Fill in IPs there first.</t>
        </is>
      </c>
      <c r="B2" s="48" t="n"/>
      <c r="C2" s="48" t="n"/>
      <c r="D2" s="48" t="n"/>
      <c r="E2" s="48" t="n"/>
      <c r="F2" s="48" t="n"/>
      <c r="G2" s="48" t="n"/>
      <c r="H2" s="48" t="n"/>
      <c r="I2" s="48" t="n"/>
      <c r="J2" s="48" t="n"/>
      <c r="K2" s="48" t="n"/>
      <c r="L2" s="48" t="n"/>
      <c r="M2" s="48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27.75" customHeight="1" s="46">
      <c r="A3" s="6" t="inlineStr">
        <is>
          <t>#</t>
        </is>
      </c>
      <c r="B3" s="6" t="inlineStr">
        <is>
          <t>Rule Name</t>
        </is>
      </c>
      <c r="C3" s="6" t="inlineStr">
        <is>
          <t>Source Component</t>
        </is>
      </c>
      <c r="D3" s="6" t="inlineStr">
        <is>
          <t>Source IP / Subnet</t>
        </is>
      </c>
      <c r="E3" s="6" t="inlineStr">
        <is>
          <t>Destination Component</t>
        </is>
      </c>
      <c r="F3" s="6" t="inlineStr">
        <is>
          <t>Destination IP / Subnet</t>
        </is>
      </c>
      <c r="G3" s="6" t="inlineStr">
        <is>
          <t>Port</t>
        </is>
      </c>
      <c r="H3" s="6" t="inlineStr">
        <is>
          <t>Protocol</t>
        </is>
      </c>
      <c r="I3" s="6" t="inlineStr">
        <is>
          <t>Service / Application</t>
        </is>
      </c>
      <c r="J3" s="6" t="inlineStr">
        <is>
          <t>Action</t>
        </is>
      </c>
      <c r="K3" s="6" t="inlineStr">
        <is>
          <t>Firewall Type</t>
        </is>
      </c>
      <c r="L3" s="6" t="inlineStr">
        <is>
          <t>Flow Direction</t>
        </is>
      </c>
      <c r="M3" s="6" t="inlineStr">
        <is>
          <t>Notes</t>
        </is>
      </c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8" customHeight="1" s="46">
      <c r="A4" s="23" t="inlineStr">
        <is>
          <t>FM-01</t>
        </is>
      </c>
      <c r="B4" s="23" t="inlineStr">
        <is>
          <t>Fleet Mgr → SDDC Mgmt</t>
        </is>
      </c>
      <c r="C4" s="23" t="inlineStr">
        <is>
          <t>VCF Operations Fleet Manager</t>
        </is>
      </c>
      <c r="D4" s="23">
        <f>IFERROR(IF('IP Input Sheet'!D5&lt;&gt;"",'IP Input Sheet'!D5,IF('IP Input Sheet'!E5&lt;&gt;"",'IP Input Sheet'!E5,'IP Input Sheet'!F5)),"[Enter IP]")</f>
        <v/>
      </c>
      <c r="E4" s="23" t="inlineStr">
        <is>
          <t>SDDC Manager</t>
        </is>
      </c>
      <c r="F4" s="23">
        <f>IFERROR(IF('IP Input Sheet'!D16&lt;&gt;"",'IP Input Sheet'!D16,IF('IP Input Sheet'!E16&lt;&gt;"",'IP Input Sheet'!E16,'IP Input Sheet'!F16)),"[Enter IP]")</f>
        <v/>
      </c>
      <c r="G4" s="23" t="inlineStr">
        <is>
          <t>443</t>
        </is>
      </c>
      <c r="H4" s="23" t="inlineStr">
        <is>
          <t>TCP</t>
        </is>
      </c>
      <c r="I4" s="23" t="inlineStr">
        <is>
          <t>Lifecycle Management</t>
        </is>
      </c>
      <c r="J4" s="24" t="inlineStr">
        <is>
          <t>Allow</t>
        </is>
      </c>
      <c r="K4" s="25" t="inlineStr">
        <is>
          <t>Gateway FW</t>
        </is>
      </c>
      <c r="L4" s="23" t="inlineStr">
        <is>
          <t>Outbound</t>
        </is>
      </c>
      <c r="M4" s="23" t="inlineStr">
        <is>
          <t>Ticket req #3 — Fleet→Mgmt</t>
        </is>
      </c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8" customHeight="1" s="46">
      <c r="A5" s="26" t="inlineStr">
        <is>
          <t>FM-02</t>
        </is>
      </c>
      <c r="B5" s="26" t="inlineStr">
        <is>
          <t>Fleet Mgr → VCF Operations</t>
        </is>
      </c>
      <c r="C5" s="26" t="inlineStr">
        <is>
          <t>VCF Operations Fleet Manager</t>
        </is>
      </c>
      <c r="D5" s="26">
        <f>IFERROR(IF('IP Input Sheet'!D5&lt;&gt;"",'IP Input Sheet'!D5,IF('IP Input Sheet'!E5&lt;&gt;"",'IP Input Sheet'!E5,'IP Input Sheet'!F5)),"[Enter IP]")</f>
        <v/>
      </c>
      <c r="E5" s="26" t="inlineStr">
        <is>
          <t>VCF Operations (VCFO)</t>
        </is>
      </c>
      <c r="F5" s="26">
        <f>IFERROR(IF('IP Input Sheet'!D6&lt;&gt;"",'IP Input Sheet'!D6,IF('IP Input Sheet'!E6&lt;&gt;"",'IP Input Sheet'!E6,'IP Input Sheet'!F6)),"[Enter IP]")</f>
        <v/>
      </c>
      <c r="G5" s="26" t="inlineStr">
        <is>
          <t>443</t>
        </is>
      </c>
      <c r="H5" s="26" t="inlineStr">
        <is>
          <t>TCP</t>
        </is>
      </c>
      <c r="I5" s="26" t="inlineStr">
        <is>
          <t>VCF Ops collector metrics</t>
        </is>
      </c>
      <c r="J5" s="24" t="inlineStr">
        <is>
          <t>Allow</t>
        </is>
      </c>
      <c r="K5" s="25" t="inlineStr">
        <is>
          <t>Gateway FW</t>
        </is>
      </c>
      <c r="L5" s="26" t="inlineStr">
        <is>
          <t>Outbound</t>
        </is>
      </c>
      <c r="M5" s="26" t="inlineStr">
        <is>
          <t>Bidirectional</t>
        </is>
      </c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8" customHeight="1" s="46">
      <c r="A6" s="23" t="inlineStr">
        <is>
          <t>FM-03</t>
        </is>
      </c>
      <c r="B6" s="23" t="inlineStr">
        <is>
          <t>Fleet Mgr → vCenter</t>
        </is>
      </c>
      <c r="C6" s="23" t="inlineStr">
        <is>
          <t>VCF Operations Fleet Manager</t>
        </is>
      </c>
      <c r="D6" s="23">
        <f>IFERROR(IF('IP Input Sheet'!D5&lt;&gt;"",'IP Input Sheet'!D5,IF('IP Input Sheet'!E5&lt;&gt;"",'IP Input Sheet'!E5,'IP Input Sheet'!F5)),"[Enter IP]")</f>
        <v/>
      </c>
      <c r="E6" s="23" t="inlineStr">
        <is>
          <t>vCenter Server</t>
        </is>
      </c>
      <c r="F6" s="23">
        <f>IFERROR(IF('IP Input Sheet'!D13&lt;&gt;"",'IP Input Sheet'!D13,IF('IP Input Sheet'!E13&lt;&gt;"",'IP Input Sheet'!E13,'IP Input Sheet'!F13)),"[Enter IP]")</f>
        <v/>
      </c>
      <c r="G6" s="23" t="inlineStr">
        <is>
          <t>443</t>
        </is>
      </c>
      <c r="H6" s="23" t="inlineStr">
        <is>
          <t>TCP</t>
        </is>
      </c>
      <c r="I6" s="23" t="inlineStr">
        <is>
          <t>vCenter config &amp; mgmt tasks</t>
        </is>
      </c>
      <c r="J6" s="24" t="inlineStr">
        <is>
          <t>Allow</t>
        </is>
      </c>
      <c r="K6" s="25" t="inlineStr">
        <is>
          <t>Gateway FW</t>
        </is>
      </c>
      <c r="L6" s="23" t="inlineStr">
        <is>
          <t>Outbound</t>
        </is>
      </c>
      <c r="M6" s="23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8" customHeight="1" s="46">
      <c r="A7" s="26" t="inlineStr">
        <is>
          <t>FM-04</t>
        </is>
      </c>
      <c r="B7" s="26" t="inlineStr">
        <is>
          <t>Fleet Mgr → NSX Manager</t>
        </is>
      </c>
      <c r="C7" s="26" t="inlineStr">
        <is>
          <t>VCF Operations Fleet Manager</t>
        </is>
      </c>
      <c r="D7" s="26">
        <f>IFERROR(IF('IP Input Sheet'!D5&lt;&gt;"",'IP Input Sheet'!D5,IF('IP Input Sheet'!E5&lt;&gt;"",'IP Input Sheet'!E5,'IP Input Sheet'!F5)),"[Enter IP]")</f>
        <v/>
      </c>
      <c r="E7" s="26" t="inlineStr">
        <is>
          <t>NSX Manager</t>
        </is>
      </c>
      <c r="F7" s="26">
        <f>IFERROR(IF('IP Input Sheet'!D14&lt;&gt;"",'IP Input Sheet'!D14,IF('IP Input Sheet'!E14&lt;&gt;"",'IP Input Sheet'!E14,'IP Input Sheet'!F14)),"[Enter IP]")</f>
        <v/>
      </c>
      <c r="G7" s="26" t="inlineStr">
        <is>
          <t>443</t>
        </is>
      </c>
      <c r="H7" s="26" t="inlineStr">
        <is>
          <t>TCP</t>
        </is>
      </c>
      <c r="I7" s="26" t="inlineStr">
        <is>
          <t>NSX networking &amp; security config</t>
        </is>
      </c>
      <c r="J7" s="24" t="inlineStr">
        <is>
          <t>Allow</t>
        </is>
      </c>
      <c r="K7" s="25" t="inlineStr">
        <is>
          <t>Gateway FW</t>
        </is>
      </c>
      <c r="L7" s="26" t="inlineStr">
        <is>
          <t>Outbound</t>
        </is>
      </c>
      <c r="M7" s="26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8" customHeight="1" s="46">
      <c r="A8" s="23" t="inlineStr">
        <is>
          <t>FM-05</t>
        </is>
      </c>
      <c r="B8" s="23" t="inlineStr">
        <is>
          <t>Fleet Mgr → DNS</t>
        </is>
      </c>
      <c r="C8" s="23" t="inlineStr">
        <is>
          <t>VCF Operations Fleet Manager</t>
        </is>
      </c>
      <c r="D8" s="23">
        <f>IFERROR(IF('IP Input Sheet'!D5&lt;&gt;"",'IP Input Sheet'!D5,IF('IP Input Sheet'!E5&lt;&gt;"",'IP Input Sheet'!E5,'IP Input Sheet'!F5)),"[Enter IP]")</f>
        <v/>
      </c>
      <c r="E8" s="23" t="inlineStr">
        <is>
          <t>DNS Server</t>
        </is>
      </c>
      <c r="F8" s="23">
        <f>'IP Input Sheet'!D60</f>
        <v/>
      </c>
      <c r="G8" s="23" t="inlineStr">
        <is>
          <t>53</t>
        </is>
      </c>
      <c r="H8" s="23" t="inlineStr">
        <is>
          <t>TCP/UDP</t>
        </is>
      </c>
      <c r="I8" s="23" t="inlineStr">
        <is>
          <t>Name resolution</t>
        </is>
      </c>
      <c r="J8" s="24" t="inlineStr">
        <is>
          <t>Allow</t>
        </is>
      </c>
      <c r="K8" s="25" t="inlineStr">
        <is>
          <t>Gateway FW</t>
        </is>
      </c>
      <c r="L8" s="23" t="inlineStr">
        <is>
          <t>Bidirectional</t>
        </is>
      </c>
      <c r="M8" s="23" t="inlineStr">
        <is>
          <t>All Fleet+VCF components</t>
        </is>
      </c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8" customHeight="1" s="46">
      <c r="A9" s="26" t="inlineStr">
        <is>
          <t>FM-06</t>
        </is>
      </c>
      <c r="B9" s="26" t="inlineStr">
        <is>
          <t>Fleet Mgr → NTP</t>
        </is>
      </c>
      <c r="C9" s="26" t="inlineStr">
        <is>
          <t>VCF Operations Fleet Manager</t>
        </is>
      </c>
      <c r="D9" s="26">
        <f>IFERROR(IF('IP Input Sheet'!D5&lt;&gt;"",'IP Input Sheet'!D5,IF('IP Input Sheet'!E5&lt;&gt;"",'IP Input Sheet'!E5,'IP Input Sheet'!F5)),"[Enter IP]")</f>
        <v/>
      </c>
      <c r="E9" s="26" t="inlineStr">
        <is>
          <t>NTP Server</t>
        </is>
      </c>
      <c r="F9" s="26">
        <f>'IP Input Sheet'!D61</f>
        <v/>
      </c>
      <c r="G9" s="26" t="inlineStr">
        <is>
          <t>123</t>
        </is>
      </c>
      <c r="H9" s="26" t="inlineStr">
        <is>
          <t>UDP</t>
        </is>
      </c>
      <c r="I9" s="26" t="inlineStr">
        <is>
          <t>Time synchronisation</t>
        </is>
      </c>
      <c r="J9" s="24" t="inlineStr">
        <is>
          <t>Allow</t>
        </is>
      </c>
      <c r="K9" s="25" t="inlineStr">
        <is>
          <t>Gateway FW</t>
        </is>
      </c>
      <c r="L9" s="26" t="inlineStr">
        <is>
          <t>Outbound</t>
        </is>
      </c>
      <c r="M9" s="26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8" customHeight="1" s="46">
      <c r="A10" s="23" t="inlineStr">
        <is>
          <t>FM-07</t>
        </is>
      </c>
      <c r="B10" s="23" t="inlineStr">
        <is>
          <t>Fleet Mgr → ESXi (HTTPS)</t>
        </is>
      </c>
      <c r="C10" s="23" t="inlineStr">
        <is>
          <t>VCF Operations Fleet Manager</t>
        </is>
      </c>
      <c r="D10" s="23">
        <f>IFERROR(IF('IP Input Sheet'!D5&lt;&gt;"",'IP Input Sheet'!D5,IF('IP Input Sheet'!E5&lt;&gt;"",'IP Input Sheet'!E5,'IP Input Sheet'!F5)),"[Enter IP]")</f>
        <v/>
      </c>
      <c r="E10" s="23" t="inlineStr">
        <is>
          <t>ESXi Hosts (WLD)</t>
        </is>
      </c>
      <c r="F10" s="23">
        <f>IFERROR(IF('IP Input Sheet'!D54&lt;&gt;"",'IP Input Sheet'!D54,IF('IP Input Sheet'!E54&lt;&gt;"",'IP Input Sheet'!E54,'IP Input Sheet'!F54)),"[Enter IP]")</f>
        <v/>
      </c>
      <c r="G10" s="23" t="inlineStr">
        <is>
          <t>443</t>
        </is>
      </c>
      <c r="H10" s="23" t="inlineStr">
        <is>
          <t>TCP</t>
        </is>
      </c>
      <c r="I10" s="23" t="inlineStr">
        <is>
          <t>Secure web services / APIs</t>
        </is>
      </c>
      <c r="J10" s="24" t="inlineStr">
        <is>
          <t>Allow</t>
        </is>
      </c>
      <c r="K10" s="25" t="inlineStr">
        <is>
          <t>Gateway FW</t>
        </is>
      </c>
      <c r="L10" s="23" t="inlineStr">
        <is>
          <t>Outbound</t>
        </is>
      </c>
      <c r="M10" s="23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8" customHeight="1" s="46">
      <c r="A11" s="26" t="inlineStr">
        <is>
          <t>FM-08</t>
        </is>
      </c>
      <c r="B11" s="26" t="inlineStr">
        <is>
          <t>Fleet Mgr → VCFA (SSH)</t>
        </is>
      </c>
      <c r="C11" s="26" t="inlineStr">
        <is>
          <t>VCF Operations Fleet Manager</t>
        </is>
      </c>
      <c r="D11" s="26">
        <f>IFERROR(IF('IP Input Sheet'!D5&lt;&gt;"",'IP Input Sheet'!D5,IF('IP Input Sheet'!E5&lt;&gt;"",'IP Input Sheet'!E5,'IP Input Sheet'!F5)),"[Enter IP]")</f>
        <v/>
      </c>
      <c r="E11" s="26" t="inlineStr">
        <is>
          <t>VCF Automation</t>
        </is>
      </c>
      <c r="F11" s="26">
        <f>IFERROR(IF('IP Input Sheet'!D7&lt;&gt;"",'IP Input Sheet'!D7,IF('IP Input Sheet'!E7&lt;&gt;"",'IP Input Sheet'!E7,'IP Input Sheet'!F7)),"[Enter IP]")</f>
        <v/>
      </c>
      <c r="G11" s="26" t="inlineStr">
        <is>
          <t>22</t>
        </is>
      </c>
      <c r="H11" s="26" t="inlineStr">
        <is>
          <t>TCP</t>
        </is>
      </c>
      <c r="I11" s="26" t="inlineStr">
        <is>
          <t>SSH lifecycle tasks</t>
        </is>
      </c>
      <c r="J11" s="24" t="inlineStr">
        <is>
          <t>Allow</t>
        </is>
      </c>
      <c r="K11" s="25" t="inlineStr">
        <is>
          <t>Gateway FW</t>
        </is>
      </c>
      <c r="L11" s="26" t="inlineStr">
        <is>
          <t>Outbound</t>
        </is>
      </c>
      <c r="M11" s="26" t="inlineStr">
        <is>
          <t>Admin  restrict to jump host</t>
        </is>
      </c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8" customHeight="1" s="46">
      <c r="A12" s="23" t="inlineStr">
        <is>
          <t>FM-09</t>
        </is>
      </c>
      <c r="B12" s="23" t="inlineStr">
        <is>
          <t>Fleet Mgr → VCFA+VIDB (6443)</t>
        </is>
      </c>
      <c r="C12" s="23" t="inlineStr">
        <is>
          <t>VCF Operations Fleet Manager</t>
        </is>
      </c>
      <c r="D12" s="23">
        <f>IFERROR(IF('IP Input Sheet'!D5&lt;&gt;"",'IP Input Sheet'!D5,IF('IP Input Sheet'!E5&lt;&gt;"",'IP Input Sheet'!E5,'IP Input Sheet'!F5)),"[Enter IP]")</f>
        <v/>
      </c>
      <c r="E12" s="23" t="inlineStr">
        <is>
          <t>Identity Broker &amp; VCF Automation</t>
        </is>
      </c>
      <c r="F12" s="23">
        <f>IFERROR(IF('IP Input Sheet'!D7&lt;&gt;"",'IP Input Sheet'!D7,IF('IP Input Sheet'!E7&lt;&gt;"",'IP Input Sheet'!E7,'IP Input Sheet'!F7)),"[Enter IP]")</f>
        <v/>
      </c>
      <c r="G12" s="23" t="inlineStr">
        <is>
          <t>6443</t>
        </is>
      </c>
      <c r="H12" s="23" t="inlineStr">
        <is>
          <t>TCP</t>
        </is>
      </c>
      <c r="I12" s="23" t="inlineStr">
        <is>
          <t>Control Plane API (k8s apiserver)</t>
        </is>
      </c>
      <c r="J12" s="24" t="inlineStr">
        <is>
          <t>Allow</t>
        </is>
      </c>
      <c r="K12" s="25" t="inlineStr">
        <is>
          <t>Gateway FW</t>
        </is>
      </c>
      <c r="L12" s="23" t="inlineStr">
        <is>
          <t>Outbound</t>
        </is>
      </c>
      <c r="M12" s="23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8" customHeight="1" s="46">
      <c r="A13" s="26" t="inlineStr">
        <is>
          <t>FM-10</t>
        </is>
      </c>
      <c r="B13" s="26" t="inlineStr">
        <is>
          <t>Fleet Mgr → VCFA+VIDB (30006)</t>
        </is>
      </c>
      <c r="C13" s="26" t="inlineStr">
        <is>
          <t>VCF Operations Fleet Manager</t>
        </is>
      </c>
      <c r="D13" s="26">
        <f>IFERROR(IF('IP Input Sheet'!D5&lt;&gt;"",'IP Input Sheet'!D5,IF('IP Input Sheet'!E5&lt;&gt;"",'IP Input Sheet'!E5,'IP Input Sheet'!F5)),"[Enter IP]")</f>
        <v/>
      </c>
      <c r="E13" s="26" t="inlineStr">
        <is>
          <t>Identity Broker &amp; VCF Automation</t>
        </is>
      </c>
      <c r="F13" s="26">
        <f>IFERROR(IF('IP Input Sheet'!D7&lt;&gt;"",'IP Input Sheet'!D7,IF('IP Input Sheet'!E7&lt;&gt;"",'IP Input Sheet'!E7,'IP Input Sheet'!F7)),"[Enter IP]")</f>
        <v/>
      </c>
      <c r="G13" s="26" t="inlineStr">
        <is>
          <t>30006</t>
        </is>
      </c>
      <c r="H13" s="26" t="inlineStr">
        <is>
          <t>TCP</t>
        </is>
      </c>
      <c r="I13" s="26" t="inlineStr">
        <is>
          <t>Validates VCFA health pre-LCM</t>
        </is>
      </c>
      <c r="J13" s="24" t="inlineStr">
        <is>
          <t>Allow</t>
        </is>
      </c>
      <c r="K13" s="25" t="inlineStr">
        <is>
          <t>Gateway FW</t>
        </is>
      </c>
      <c r="L13" s="26" t="inlineStr">
        <is>
          <t>Outbound</t>
        </is>
      </c>
      <c r="M13" s="26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8" customHeight="1" s="46">
      <c r="A14" s="23" t="inlineStr">
        <is>
          <t>FM-11</t>
        </is>
      </c>
      <c r="B14" s="23" t="inlineStr">
        <is>
          <t>Fleet Mgr → VCFA+VIDB (30005)</t>
        </is>
      </c>
      <c r="C14" s="23" t="inlineStr">
        <is>
          <t>VCF Operations Fleet Manager</t>
        </is>
      </c>
      <c r="D14" s="23">
        <f>IFERROR(IF('IP Input Sheet'!D5&lt;&gt;"",'IP Input Sheet'!D5,IF('IP Input Sheet'!E5&lt;&gt;"",'IP Input Sheet'!E5,'IP Input Sheet'!F5)),"[Enter IP]")</f>
        <v/>
      </c>
      <c r="E14" s="23" t="inlineStr">
        <is>
          <t>Identity Broker &amp; VCF Automation</t>
        </is>
      </c>
      <c r="F14" s="23">
        <f>IFERROR(IF('IP Input Sheet'!D7&lt;&gt;"",'IP Input Sheet'!D7,IF('IP Input Sheet'!E7&lt;&gt;"",'IP Input Sheet'!E7,'IP Input Sheet'!F7)),"[Enter IP]")</f>
        <v/>
      </c>
      <c r="G14" s="23" t="inlineStr">
        <is>
          <t>30005</t>
        </is>
      </c>
      <c r="H14" s="23" t="inlineStr">
        <is>
          <t>TCP</t>
        </is>
      </c>
      <c r="I14" s="23" t="inlineStr">
        <is>
          <t>API calls to VIDB &amp; VCFA</t>
        </is>
      </c>
      <c r="J14" s="24" t="inlineStr">
        <is>
          <t>Allow</t>
        </is>
      </c>
      <c r="K14" s="25" t="inlineStr">
        <is>
          <t>Gateway FW</t>
        </is>
      </c>
      <c r="L14" s="23" t="inlineStr">
        <is>
          <t>Outbound</t>
        </is>
      </c>
      <c r="M14" s="23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8" customHeight="1" s="46">
      <c r="A15" s="26" t="inlineStr">
        <is>
          <t>FM-12</t>
        </is>
      </c>
      <c r="B15" s="26" t="inlineStr">
        <is>
          <t>Fleet Mgr → VCFA+VIDB (30001)</t>
        </is>
      </c>
      <c r="C15" s="26" t="inlineStr">
        <is>
          <t>VCF Operations Fleet Manager</t>
        </is>
      </c>
      <c r="D15" s="26">
        <f>IFERROR(IF('IP Input Sheet'!D5&lt;&gt;"",'IP Input Sheet'!D5,IF('IP Input Sheet'!E5&lt;&gt;"",'IP Input Sheet'!E5,'IP Input Sheet'!F5)),"[Enter IP]")</f>
        <v/>
      </c>
      <c r="E15" s="26" t="inlineStr">
        <is>
          <t>Identity Broker &amp; VCF Automation</t>
        </is>
      </c>
      <c r="F15" s="26">
        <f>IFERROR(IF('IP Input Sheet'!D7&lt;&gt;"",'IP Input Sheet'!D7,IF('IP Input Sheet'!E7&lt;&gt;"",'IP Input Sheet'!E7,'IP Input Sheet'!F7)),"[Enter IP]")</f>
        <v/>
      </c>
      <c r="G15" s="26" t="inlineStr">
        <is>
          <t>30001</t>
        </is>
      </c>
      <c r="H15" s="26" t="inlineStr">
        <is>
          <t>TCP</t>
        </is>
      </c>
      <c r="I15" s="26" t="inlineStr">
        <is>
          <t>Container images (k8s/VKS)</t>
        </is>
      </c>
      <c r="J15" s="24" t="inlineStr">
        <is>
          <t>Allow</t>
        </is>
      </c>
      <c r="K15" s="25" t="inlineStr">
        <is>
          <t>Gateway FW</t>
        </is>
      </c>
      <c r="L15" s="26" t="inlineStr">
        <is>
          <t>Outbound</t>
        </is>
      </c>
      <c r="M15" s="26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8" customHeight="1" s="46">
      <c r="A16" s="23" t="inlineStr">
        <is>
          <t>FM-13</t>
        </is>
      </c>
      <c r="B16" s="23" t="inlineStr">
        <is>
          <t>Fleet Mgr → VCFA+VIDB (30000)</t>
        </is>
      </c>
      <c r="C16" s="23" t="inlineStr">
        <is>
          <t>VCF Operations Fleet Manager</t>
        </is>
      </c>
      <c r="D16" s="23">
        <f>IFERROR(IF('IP Input Sheet'!D5&lt;&gt;"",'IP Input Sheet'!D5,IF('IP Input Sheet'!E5&lt;&gt;"",'IP Input Sheet'!E5,'IP Input Sheet'!F5)),"[Enter IP]")</f>
        <v/>
      </c>
      <c r="E16" s="23" t="inlineStr">
        <is>
          <t>Identity Broker &amp; VCF Automation</t>
        </is>
      </c>
      <c r="F16" s="23">
        <f>IFERROR(IF('IP Input Sheet'!D7&lt;&gt;"",'IP Input Sheet'!D7,IF('IP Input Sheet'!E7&lt;&gt;"",'IP Input Sheet'!E7,'IP Input Sheet'!F7)),"[Enter IP]")</f>
        <v/>
      </c>
      <c r="G16" s="23" t="inlineStr">
        <is>
          <t>30000</t>
        </is>
      </c>
      <c r="H16" s="23" t="inlineStr">
        <is>
          <t>TCP</t>
        </is>
      </c>
      <c r="I16" s="23" t="inlineStr">
        <is>
          <t>Container images (k8s/VKS)</t>
        </is>
      </c>
      <c r="J16" s="24" t="inlineStr">
        <is>
          <t>Allow</t>
        </is>
      </c>
      <c r="K16" s="25" t="inlineStr">
        <is>
          <t>Gateway FW</t>
        </is>
      </c>
      <c r="L16" s="23" t="inlineStr">
        <is>
          <t>Outbound</t>
        </is>
      </c>
      <c r="M16" s="23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8" customHeight="1" s="46">
      <c r="A17" s="26" t="inlineStr">
        <is>
          <t>FM-14</t>
        </is>
      </c>
      <c r="B17" s="26" t="inlineStr">
        <is>
          <t>Fleet Mgr → VCFA health</t>
        </is>
      </c>
      <c r="C17" s="26" t="inlineStr">
        <is>
          <t>VCF Operations Fleet Manager</t>
        </is>
      </c>
      <c r="D17" s="26">
        <f>IFERROR(IF('IP Input Sheet'!D5&lt;&gt;"",'IP Input Sheet'!D5,IF('IP Input Sheet'!E5&lt;&gt;"",'IP Input Sheet'!E5,'IP Input Sheet'!F5)),"[Enter IP]")</f>
        <v/>
      </c>
      <c r="E17" s="26" t="inlineStr">
        <is>
          <t>VCF Automation</t>
        </is>
      </c>
      <c r="F17" s="26">
        <f>IFERROR(IF('IP Input Sheet'!D7&lt;&gt;"",'IP Input Sheet'!D7,IF('IP Input Sheet'!E7&lt;&gt;"",'IP Input Sheet'!E7,'IP Input Sheet'!F7)),"[Enter IP]")</f>
        <v/>
      </c>
      <c r="G17" s="26" t="inlineStr">
        <is>
          <t>8008</t>
        </is>
      </c>
      <c r="H17" s="26" t="inlineStr">
        <is>
          <t>TCP</t>
        </is>
      </c>
      <c r="I17" s="26" t="inlineStr">
        <is>
          <t>Health check monitoring</t>
        </is>
      </c>
      <c r="J17" s="24" t="inlineStr">
        <is>
          <t>Allow</t>
        </is>
      </c>
      <c r="K17" s="25" t="inlineStr">
        <is>
          <t>Gateway FW</t>
        </is>
      </c>
      <c r="L17" s="26" t="inlineStr">
        <is>
          <t>Outbound</t>
        </is>
      </c>
      <c r="M17" s="26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8" customHeight="1" s="46">
      <c r="A18" s="23" t="inlineStr">
        <is>
          <t>VO-01</t>
        </is>
      </c>
      <c r="B18" s="23" t="inlineStr">
        <is>
          <t>VCF Ops → NTP</t>
        </is>
      </c>
      <c r="C18" s="23" t="inlineStr">
        <is>
          <t>VCF Operations (VCFO)</t>
        </is>
      </c>
      <c r="D18" s="23">
        <f>IFERROR(IF('IP Input Sheet'!D6&lt;&gt;"",'IP Input Sheet'!D6,IF('IP Input Sheet'!E6&lt;&gt;"",'IP Input Sheet'!E6,'IP Input Sheet'!F6)),"[Enter IP]")</f>
        <v/>
      </c>
      <c r="E18" s="23" t="inlineStr">
        <is>
          <t>NTP Server</t>
        </is>
      </c>
      <c r="F18" s="23">
        <f>'IP Input Sheet'!D61</f>
        <v/>
      </c>
      <c r="G18" s="23" t="inlineStr">
        <is>
          <t>123</t>
        </is>
      </c>
      <c r="H18" s="23" t="inlineStr">
        <is>
          <t>UDP</t>
        </is>
      </c>
      <c r="I18" s="23" t="inlineStr">
        <is>
          <t>Time sync — primary/replica/data nodes</t>
        </is>
      </c>
      <c r="J18" s="24" t="inlineStr">
        <is>
          <t>Allow</t>
        </is>
      </c>
      <c r="K18" s="25" t="inlineStr">
        <is>
          <t>Gateway FW</t>
        </is>
      </c>
      <c r="L18" s="23" t="inlineStr">
        <is>
          <t>Outbound</t>
        </is>
      </c>
      <c r="M18" s="23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8" customHeight="1" s="46">
      <c r="A19" s="26" t="inlineStr">
        <is>
          <t>VO-02</t>
        </is>
      </c>
      <c r="B19" s="26" t="inlineStr">
        <is>
          <t>VCF Ops → DNS</t>
        </is>
      </c>
      <c r="C19" s="26" t="inlineStr">
        <is>
          <t>VCF Operations (VCFO)</t>
        </is>
      </c>
      <c r="D19" s="26">
        <f>IFERROR(IF('IP Input Sheet'!D6&lt;&gt;"",'IP Input Sheet'!D6,IF('IP Input Sheet'!E6&lt;&gt;"",'IP Input Sheet'!E6,'IP Input Sheet'!F6)),"[Enter IP]")</f>
        <v/>
      </c>
      <c r="E19" s="26" t="inlineStr">
        <is>
          <t>DNS Server</t>
        </is>
      </c>
      <c r="F19" s="26">
        <f>'IP Input Sheet'!D60</f>
        <v/>
      </c>
      <c r="G19" s="26" t="inlineStr">
        <is>
          <t>53</t>
        </is>
      </c>
      <c r="H19" s="26" t="inlineStr">
        <is>
          <t>TCP/UDP</t>
        </is>
      </c>
      <c r="I19" s="26" t="inlineStr">
        <is>
          <t>DNS resolution</t>
        </is>
      </c>
      <c r="J19" s="24" t="inlineStr">
        <is>
          <t>Allow</t>
        </is>
      </c>
      <c r="K19" s="25" t="inlineStr">
        <is>
          <t>Gateway FW</t>
        </is>
      </c>
      <c r="L19" s="26" t="inlineStr">
        <is>
          <t>Outbound</t>
        </is>
      </c>
      <c r="M19" s="26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8" customHeight="1" s="46">
      <c r="A20" s="23" t="inlineStr">
        <is>
          <t>VO-03</t>
        </is>
      </c>
      <c r="B20" s="23" t="inlineStr">
        <is>
          <t>VCF Ops → LDAP</t>
        </is>
      </c>
      <c r="C20" s="23" t="inlineStr">
        <is>
          <t>VCF Operations (VCFO)</t>
        </is>
      </c>
      <c r="D20" s="23">
        <f>IFERROR(IF('IP Input Sheet'!D6&lt;&gt;"",'IP Input Sheet'!D6,IF('IP Input Sheet'!E6&lt;&gt;"",'IP Input Sheet'!E6,'IP Input Sheet'!F6)),"[Enter IP]")</f>
        <v/>
      </c>
      <c r="E20" s="23" t="inlineStr">
        <is>
          <t>AD/LDAP Server</t>
        </is>
      </c>
      <c r="F20" s="23" t="n"/>
      <c r="G20" s="23" t="inlineStr">
        <is>
          <t>389</t>
        </is>
      </c>
      <c r="H20" s="23" t="inlineStr">
        <is>
          <t>TCP</t>
        </is>
      </c>
      <c r="I20" s="23" t="inlineStr">
        <is>
          <t>LDAP directory</t>
        </is>
      </c>
      <c r="J20" s="24" t="inlineStr">
        <is>
          <t>Allow</t>
        </is>
      </c>
      <c r="K20" s="25" t="inlineStr">
        <is>
          <t>Gateway FW</t>
        </is>
      </c>
      <c r="L20" s="23" t="inlineStr">
        <is>
          <t>Outbound</t>
        </is>
      </c>
      <c r="M20" s="23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8" customHeight="1" s="46">
      <c r="A21" s="26" t="inlineStr">
        <is>
          <t>VO-04</t>
        </is>
      </c>
      <c r="B21" s="26" t="inlineStr">
        <is>
          <t>VCF Ops → LDAPS</t>
        </is>
      </c>
      <c r="C21" s="26" t="inlineStr">
        <is>
          <t>VCF Operations (VCFO)</t>
        </is>
      </c>
      <c r="D21" s="26">
        <f>IFERROR(IF('IP Input Sheet'!D6&lt;&gt;"",'IP Input Sheet'!D6,IF('IP Input Sheet'!E6&lt;&gt;"",'IP Input Sheet'!E6,'IP Input Sheet'!F6)),"[Enter IP]")</f>
        <v/>
      </c>
      <c r="E21" s="26" t="inlineStr">
        <is>
          <t>AD/LDAP Server</t>
        </is>
      </c>
      <c r="F21" s="26" t="n"/>
      <c r="G21" s="26" t="inlineStr">
        <is>
          <t>636</t>
        </is>
      </c>
      <c r="H21" s="26" t="inlineStr">
        <is>
          <t>TCP</t>
        </is>
      </c>
      <c r="I21" s="26" t="inlineStr">
        <is>
          <t>LDAPS secure directory</t>
        </is>
      </c>
      <c r="J21" s="24" t="inlineStr">
        <is>
          <t>Allow</t>
        </is>
      </c>
      <c r="K21" s="25" t="inlineStr">
        <is>
          <t>Gateway FW</t>
        </is>
      </c>
      <c r="L21" s="26" t="inlineStr">
        <is>
          <t>Outbound</t>
        </is>
      </c>
      <c r="M21" s="26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8" customHeight="1" s="46">
      <c r="A22" s="23" t="inlineStr">
        <is>
          <t>VO-05</t>
        </is>
      </c>
      <c r="B22" s="23" t="inlineStr">
        <is>
          <t>VCF Ops → Global Catalog</t>
        </is>
      </c>
      <c r="C22" s="23" t="inlineStr">
        <is>
          <t>VCF Operations (VCFO)</t>
        </is>
      </c>
      <c r="D22" s="23">
        <f>IFERROR(IF('IP Input Sheet'!D6&lt;&gt;"",'IP Input Sheet'!D6,IF('IP Input Sheet'!E6&lt;&gt;"",'IP Input Sheet'!E6,'IP Input Sheet'!F6)),"[Enter IP]")</f>
        <v/>
      </c>
      <c r="E22" s="23" t="inlineStr">
        <is>
          <t>AD/LDAP Server</t>
        </is>
      </c>
      <c r="F22" s="23" t="n"/>
      <c r="G22" s="23" t="inlineStr">
        <is>
          <t>3268/3269</t>
        </is>
      </c>
      <c r="H22" s="23" t="inlineStr">
        <is>
          <t>TCP</t>
        </is>
      </c>
      <c r="I22" s="23" t="inlineStr">
        <is>
          <t>Global Catalog AD</t>
        </is>
      </c>
      <c r="J22" s="24" t="inlineStr">
        <is>
          <t>Allow</t>
        </is>
      </c>
      <c r="K22" s="25" t="inlineStr">
        <is>
          <t>Gateway FW</t>
        </is>
      </c>
      <c r="L22" s="23" t="inlineStr">
        <is>
          <t>Outbound</t>
        </is>
      </c>
      <c r="M22" s="23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8" customHeight="1" s="46">
      <c r="A23" s="26" t="inlineStr">
        <is>
          <t>VO-06</t>
        </is>
      </c>
      <c r="B23" s="26" t="inlineStr">
        <is>
          <t>VCF Ops → SFTP</t>
        </is>
      </c>
      <c r="C23" s="26" t="inlineStr">
        <is>
          <t>VCF Operations (VCFO)</t>
        </is>
      </c>
      <c r="D23" s="26">
        <f>IFERROR(IF('IP Input Sheet'!D6&lt;&gt;"",'IP Input Sheet'!D6,IF('IP Input Sheet'!E6&lt;&gt;"",'IP Input Sheet'!E6,'IP Input Sheet'!F6)),"[Enter IP]")</f>
        <v/>
      </c>
      <c r="E23" s="26" t="inlineStr">
        <is>
          <t>SFTP Server</t>
        </is>
      </c>
      <c r="F23" s="26">
        <f>IF('IP Input Sheet'!$D$64&lt;&gt;"",'IP Input Sheet'!$D$64,IF('IP Input Sheet'!$E$64&lt;&gt;"",'IP Input Sheet'!$E$64,'IP Input Sheet'!$F$64))</f>
        <v/>
      </c>
      <c r="G23" s="26" t="inlineStr">
        <is>
          <t>22</t>
        </is>
      </c>
      <c r="H23" s="26" t="inlineStr">
        <is>
          <t>TCP</t>
        </is>
      </c>
      <c r="I23" s="26" t="inlineStr">
        <is>
          <t>SFTP Backup – TCP/22</t>
        </is>
      </c>
      <c r="J23" s="24" t="inlineStr">
        <is>
          <t>Allow</t>
        </is>
      </c>
      <c r="K23" s="25" t="inlineStr">
        <is>
          <t>Gateway FW</t>
        </is>
      </c>
      <c r="L23" s="26" t="inlineStr">
        <is>
          <t>Outbound</t>
        </is>
      </c>
      <c r="M23" s="26" t="n"/>
      <c r="N23" s="4" t="inlineStr">
        <is>
          <t>Normalized SFTP backup entry linked to IP Input Sheet (SFTP_SRV).</t>
        </is>
      </c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8" customHeight="1" s="46">
      <c r="A24" s="23" t="inlineStr">
        <is>
          <t>VO-07</t>
        </is>
      </c>
      <c r="B24" s="23" t="inlineStr">
        <is>
          <t>VCF Ops → vCenter (inventory)</t>
        </is>
      </c>
      <c r="C24" s="23" t="inlineStr">
        <is>
          <t>VCF Operations (VCFO)</t>
        </is>
      </c>
      <c r="D24" s="23">
        <f>IFERROR(IF('IP Input Sheet'!D6&lt;&gt;"",'IP Input Sheet'!D6,IF('IP Input Sheet'!E6&lt;&gt;"",'IP Input Sheet'!E6,'IP Input Sheet'!F6)),"[Enter IP]")</f>
        <v/>
      </c>
      <c r="E24" s="23" t="inlineStr">
        <is>
          <t>vCenter Server</t>
        </is>
      </c>
      <c r="F24" s="23">
        <f>IFERROR(IF('IP Input Sheet'!D13&lt;&gt;"",'IP Input Sheet'!D13,IF('IP Input Sheet'!E13&lt;&gt;"",'IP Input Sheet'!E13,'IP Input Sheet'!F13)),"[Enter IP]")</f>
        <v/>
      </c>
      <c r="G24" s="23" t="inlineStr">
        <is>
          <t>10443</t>
        </is>
      </c>
      <c r="H24" s="23" t="inlineStr">
        <is>
          <t>TCP</t>
        </is>
      </c>
      <c r="I24" s="23" t="inlineStr">
        <is>
          <t>vCenter inventory service</t>
        </is>
      </c>
      <c r="J24" s="24" t="inlineStr">
        <is>
          <t>Allow</t>
        </is>
      </c>
      <c r="K24" s="25" t="inlineStr">
        <is>
          <t>Gateway FW</t>
        </is>
      </c>
      <c r="L24" s="23" t="inlineStr">
        <is>
          <t>Outbound</t>
        </is>
      </c>
      <c r="M24" s="23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8" customHeight="1" s="46">
      <c r="A25" s="26" t="inlineStr">
        <is>
          <t>VO-08</t>
        </is>
      </c>
      <c r="B25" s="26" t="inlineStr">
        <is>
          <t>VCF Ops → vCenter (HTTPS)</t>
        </is>
      </c>
      <c r="C25" s="26" t="inlineStr">
        <is>
          <t>VCF Operations (VCFO)</t>
        </is>
      </c>
      <c r="D25" s="26">
        <f>IFERROR(IF('IP Input Sheet'!D6&lt;&gt;"",'IP Input Sheet'!D6,IF('IP Input Sheet'!E6&lt;&gt;"",'IP Input Sheet'!E6,'IP Input Sheet'!F6)),"[Enter IP]")</f>
        <v/>
      </c>
      <c r="E25" s="26" t="inlineStr">
        <is>
          <t>vCenter Server</t>
        </is>
      </c>
      <c r="F25" s="26">
        <f>IFERROR(IF('IP Input Sheet'!D13&lt;&gt;"",'IP Input Sheet'!D13,IF('IP Input Sheet'!E13&lt;&gt;"",'IP Input Sheet'!E13,'IP Input Sheet'!F13)),"[Enter IP]")</f>
        <v/>
      </c>
      <c r="G25" s="26" t="inlineStr">
        <is>
          <t>443</t>
        </is>
      </c>
      <c r="H25" s="26" t="inlineStr">
        <is>
          <t>TCP</t>
        </is>
      </c>
      <c r="I25" s="26" t="inlineStr">
        <is>
          <t>HTTPS API comms</t>
        </is>
      </c>
      <c r="J25" s="24" t="inlineStr">
        <is>
          <t>Allow</t>
        </is>
      </c>
      <c r="K25" s="25" t="inlineStr">
        <is>
          <t>Gateway FW</t>
        </is>
      </c>
      <c r="L25" s="26" t="inlineStr">
        <is>
          <t>Outbound</t>
        </is>
      </c>
      <c r="M25" s="26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8" customHeight="1" s="46">
      <c r="A26" s="23" t="inlineStr">
        <is>
          <t>VO-09</t>
        </is>
      </c>
      <c r="B26" s="23" t="inlineStr">
        <is>
          <t>VCF Ops → ESXi</t>
        </is>
      </c>
      <c r="C26" s="23" t="inlineStr">
        <is>
          <t>VCF Operations (VCFO)</t>
        </is>
      </c>
      <c r="D26" s="23">
        <f>IFERROR(IF('IP Input Sheet'!D6&lt;&gt;"",'IP Input Sheet'!D6,IF('IP Input Sheet'!E6&lt;&gt;"",'IP Input Sheet'!E6,'IP Input Sheet'!F6)),"[Enter IP]")</f>
        <v/>
      </c>
      <c r="E26" s="23" t="inlineStr">
        <is>
          <t>ESXi Hosts (WLD)</t>
        </is>
      </c>
      <c r="F26" s="23">
        <f>IFERROR(IF('IP Input Sheet'!D54&lt;&gt;"",'IP Input Sheet'!D54,IF('IP Input Sheet'!E54&lt;&gt;"",'IP Input Sheet'!E54,'IP Input Sheet'!F54)),"[Enter IP]")</f>
        <v/>
      </c>
      <c r="G26" s="23" t="inlineStr">
        <is>
          <t>443</t>
        </is>
      </c>
      <c r="H26" s="23" t="inlineStr">
        <is>
          <t>TCP</t>
        </is>
      </c>
      <c r="I26" s="23" t="inlineStr">
        <is>
          <t>Management operations</t>
        </is>
      </c>
      <c r="J26" s="24" t="inlineStr">
        <is>
          <t>Allow</t>
        </is>
      </c>
      <c r="K26" s="25" t="inlineStr">
        <is>
          <t>Gateway FW</t>
        </is>
      </c>
      <c r="L26" s="23" t="inlineStr">
        <is>
          <t>Outbound</t>
        </is>
      </c>
      <c r="M26" s="23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8" customHeight="1" s="46">
      <c r="A27" s="26" t="inlineStr">
        <is>
          <t>VO-10</t>
        </is>
      </c>
      <c r="B27" s="26" t="inlineStr">
        <is>
          <t>VCF Ops → NSX Manager</t>
        </is>
      </c>
      <c r="C27" s="26" t="inlineStr">
        <is>
          <t>VCF Operations (VCFO)</t>
        </is>
      </c>
      <c r="D27" s="26">
        <f>IFERROR(IF('IP Input Sheet'!D6&lt;&gt;"",'IP Input Sheet'!D6,IF('IP Input Sheet'!E6&lt;&gt;"",'IP Input Sheet'!E6,'IP Input Sheet'!F6)),"[Enter IP]")</f>
        <v/>
      </c>
      <c r="E27" s="26" t="inlineStr">
        <is>
          <t>NSX Manager</t>
        </is>
      </c>
      <c r="F27" s="26">
        <f>IFERROR(IF('IP Input Sheet'!D14&lt;&gt;"",'IP Input Sheet'!D14,IF('IP Input Sheet'!E14&lt;&gt;"",'IP Input Sheet'!E14,'IP Input Sheet'!F14)),"[Enter IP]")</f>
        <v/>
      </c>
      <c r="G27" s="26" t="inlineStr">
        <is>
          <t>443</t>
        </is>
      </c>
      <c r="H27" s="26" t="inlineStr">
        <is>
          <t>TCP</t>
        </is>
      </c>
      <c r="I27" s="26" t="inlineStr">
        <is>
          <t>NSX API metrics/inventory</t>
        </is>
      </c>
      <c r="J27" s="24" t="inlineStr">
        <is>
          <t>Allow</t>
        </is>
      </c>
      <c r="K27" s="25" t="inlineStr">
        <is>
          <t>Gateway FW</t>
        </is>
      </c>
      <c r="L27" s="26" t="inlineStr">
        <is>
          <t>Outbound</t>
        </is>
      </c>
      <c r="M27" s="26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8" customHeight="1" s="46">
      <c r="A28" s="23" t="inlineStr">
        <is>
          <t>VA-01</t>
        </is>
      </c>
      <c r="B28" s="23" t="inlineStr">
        <is>
          <t>VCF Auto → vCenter</t>
        </is>
      </c>
      <c r="C28" s="23" t="inlineStr">
        <is>
          <t>VCF Automation (VCFA)</t>
        </is>
      </c>
      <c r="D28" s="23">
        <f>IFERROR(IF('IP Input Sheet'!D7&lt;&gt;"",'IP Input Sheet'!D7,IF('IP Input Sheet'!E7&lt;&gt;"",'IP Input Sheet'!E7,'IP Input Sheet'!F7)),"[Enter IP]")</f>
        <v/>
      </c>
      <c r="E28" s="23" t="inlineStr">
        <is>
          <t>vCenter Server</t>
        </is>
      </c>
      <c r="F28" s="23">
        <f>IFERROR(IF('IP Input Sheet'!D13&lt;&gt;"",'IP Input Sheet'!D13,IF('IP Input Sheet'!E13&lt;&gt;"",'IP Input Sheet'!E13,'IP Input Sheet'!F13)),"[Enter IP]")</f>
        <v/>
      </c>
      <c r="G28" s="23" t="inlineStr">
        <is>
          <t>443</t>
        </is>
      </c>
      <c r="H28" s="23" t="inlineStr">
        <is>
          <t>TCP</t>
        </is>
      </c>
      <c r="I28" s="23" t="inlineStr">
        <is>
          <t>API and Web Access — mgmt+API</t>
        </is>
      </c>
      <c r="J28" s="24" t="inlineStr">
        <is>
          <t>Allow</t>
        </is>
      </c>
      <c r="K28" s="25" t="inlineStr">
        <is>
          <t>Gateway FW</t>
        </is>
      </c>
      <c r="L28" s="23" t="inlineStr">
        <is>
          <t>Bidirectional</t>
        </is>
      </c>
      <c r="M28" s="23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8" customHeight="1" s="46">
      <c r="A29" s="26" t="inlineStr">
        <is>
          <t>VA-02</t>
        </is>
      </c>
      <c r="B29" s="26" t="inlineStr">
        <is>
          <t>VCF Auto → ESXi (902)</t>
        </is>
      </c>
      <c r="C29" s="26" t="inlineStr">
        <is>
          <t>VCF Automation (VCFA)</t>
        </is>
      </c>
      <c r="D29" s="26">
        <f>IFERROR(IF('IP Input Sheet'!D7&lt;&gt;"",'IP Input Sheet'!D7,IF('IP Input Sheet'!E7&lt;&gt;"",'IP Input Sheet'!E7,'IP Input Sheet'!F7)),"[Enter IP]")</f>
        <v/>
      </c>
      <c r="E29" s="26" t="inlineStr">
        <is>
          <t>ESXi Hosts (WLD)</t>
        </is>
      </c>
      <c r="F29" s="26">
        <f>IFERROR(IF('IP Input Sheet'!D54&lt;&gt;"",'IP Input Sheet'!D54,IF('IP Input Sheet'!E54&lt;&gt;"",'IP Input Sheet'!E54,'IP Input Sheet'!F54)),"[Enter IP]")</f>
        <v/>
      </c>
      <c r="G29" s="26" t="inlineStr">
        <is>
          <t>902</t>
        </is>
      </c>
      <c r="H29" s="26" t="inlineStr">
        <is>
          <t>TCP</t>
        </is>
      </c>
      <c r="I29" s="26" t="inlineStr">
        <is>
          <t>VM Console VMRC/MKS</t>
        </is>
      </c>
      <c r="J29" s="24" t="inlineStr">
        <is>
          <t>Allow</t>
        </is>
      </c>
      <c r="K29" s="25" t="inlineStr">
        <is>
          <t>Gateway FW</t>
        </is>
      </c>
      <c r="L29" s="26" t="inlineStr">
        <is>
          <t>Outbound</t>
        </is>
      </c>
      <c r="M29" s="26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8" customHeight="1" s="46">
      <c r="A30" s="23" t="inlineStr">
        <is>
          <t>VA-03</t>
        </is>
      </c>
      <c r="B30" s="23" t="inlineStr">
        <is>
          <t>VCF Auto → ESXi (443)</t>
        </is>
      </c>
      <c r="C30" s="23" t="inlineStr">
        <is>
          <t>VCF Automation (VCFA)</t>
        </is>
      </c>
      <c r="D30" s="23">
        <f>IFERROR(IF('IP Input Sheet'!D7&lt;&gt;"",'IP Input Sheet'!D7,IF('IP Input Sheet'!E7&lt;&gt;"",'IP Input Sheet'!E7,'IP Input Sheet'!F7)),"[Enter IP]")</f>
        <v/>
      </c>
      <c r="E30" s="23" t="inlineStr">
        <is>
          <t>ESXi Hosts (WLD)</t>
        </is>
      </c>
      <c r="F30" s="23">
        <f>IFERROR(IF('IP Input Sheet'!D54&lt;&gt;"",'IP Input Sheet'!D54,IF('IP Input Sheet'!E54&lt;&gt;"",'IP Input Sheet'!E54,'IP Input Sheet'!F54)),"[Enter IP]")</f>
        <v/>
      </c>
      <c r="G30" s="23" t="inlineStr">
        <is>
          <t>443</t>
        </is>
      </c>
      <c r="H30" s="23" t="inlineStr">
        <is>
          <t>TCP</t>
        </is>
      </c>
      <c r="I30" s="23" t="inlineStr">
        <is>
          <t>Web Console</t>
        </is>
      </c>
      <c r="J30" s="24" t="inlineStr">
        <is>
          <t>Allow</t>
        </is>
      </c>
      <c r="K30" s="25" t="inlineStr">
        <is>
          <t>Gateway FW</t>
        </is>
      </c>
      <c r="L30" s="23" t="inlineStr">
        <is>
          <t>Bidirectional</t>
        </is>
      </c>
      <c r="M30" s="23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8" customHeight="1" s="46">
      <c r="A31" s="26" t="inlineStr">
        <is>
          <t>VA-04</t>
        </is>
      </c>
      <c r="B31" s="26" t="inlineStr">
        <is>
          <t>VCF Auto → ESXi (SSH)</t>
        </is>
      </c>
      <c r="C31" s="26" t="inlineStr">
        <is>
          <t>VCF Automation (VCFA)</t>
        </is>
      </c>
      <c r="D31" s="26">
        <f>IFERROR(IF('IP Input Sheet'!D7&lt;&gt;"",'IP Input Sheet'!D7,IF('IP Input Sheet'!E7&lt;&gt;"",'IP Input Sheet'!E7,'IP Input Sheet'!F7)),"[Enter IP]")</f>
        <v/>
      </c>
      <c r="E31" s="26" t="inlineStr">
        <is>
          <t>ESXi Hosts (WLD)</t>
        </is>
      </c>
      <c r="F31" s="26">
        <f>IFERROR(IF('IP Input Sheet'!D54&lt;&gt;"",'IP Input Sheet'!D54,IF('IP Input Sheet'!E54&lt;&gt;"",'IP Input Sheet'!E54,'IP Input Sheet'!F54)),"[Enter IP]")</f>
        <v/>
      </c>
      <c r="G31" s="26" t="inlineStr">
        <is>
          <t>22</t>
        </is>
      </c>
      <c r="H31" s="26" t="inlineStr">
        <is>
          <t>TCP</t>
        </is>
      </c>
      <c r="I31" s="26" t="inlineStr">
        <is>
          <t>SSH</t>
        </is>
      </c>
      <c r="J31" s="24" t="inlineStr">
        <is>
          <t>Allow</t>
        </is>
      </c>
      <c r="K31" s="25" t="inlineStr">
        <is>
          <t>Gateway FW</t>
        </is>
      </c>
      <c r="L31" s="26" t="inlineStr">
        <is>
          <t>Bidirectional</t>
        </is>
      </c>
      <c r="M31" s="26" t="inlineStr">
        <is>
          <t>Admin restrict to jump host</t>
        </is>
      </c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8" customHeight="1" s="46">
      <c r="A32" s="23" t="inlineStr">
        <is>
          <t>VA-05</t>
        </is>
      </c>
      <c r="B32" s="23" t="inlineStr">
        <is>
          <t>VCF Auto → NSX Mgr</t>
        </is>
      </c>
      <c r="C32" s="23" t="inlineStr">
        <is>
          <t>VCF Automation (VCFA)</t>
        </is>
      </c>
      <c r="D32" s="23">
        <f>IFERROR(IF('IP Input Sheet'!D7&lt;&gt;"",'IP Input Sheet'!D7,IF('IP Input Sheet'!E7&lt;&gt;"",'IP Input Sheet'!E7,'IP Input Sheet'!F7)),"[Enter IP]")</f>
        <v/>
      </c>
      <c r="E32" s="23" t="inlineStr">
        <is>
          <t>NSX Manager Cluster</t>
        </is>
      </c>
      <c r="F32" s="23">
        <f>IFERROR(IF('IP Input Sheet'!D14&lt;&gt;"",'IP Input Sheet'!D14,IF('IP Input Sheet'!E14&lt;&gt;"",'IP Input Sheet'!E14,'IP Input Sheet'!F14)),"[Enter IP]")</f>
        <v/>
      </c>
      <c r="G32" s="23" t="inlineStr">
        <is>
          <t>443</t>
        </is>
      </c>
      <c r="H32" s="23" t="inlineStr">
        <is>
          <t>TCP</t>
        </is>
      </c>
      <c r="I32" s="23" t="inlineStr">
        <is>
          <t>NSX Manager API HTTPS — policy provisioning</t>
        </is>
      </c>
      <c r="J32" s="24" t="inlineStr">
        <is>
          <t>Allow</t>
        </is>
      </c>
      <c r="K32" s="25" t="inlineStr">
        <is>
          <t>Gateway FW</t>
        </is>
      </c>
      <c r="L32" s="23" t="inlineStr">
        <is>
          <t>Bidirectional</t>
        </is>
      </c>
      <c r="M32" s="23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8" customHeight="1" s="46">
      <c r="A33" s="26" t="inlineStr">
        <is>
          <t>VA-06</t>
        </is>
      </c>
      <c r="B33" s="26" t="inlineStr">
        <is>
          <t>VCF Auto → Supervisor VIP (443)</t>
        </is>
      </c>
      <c r="C33" s="26" t="inlineStr">
        <is>
          <t>VCF Automation (VCFA)</t>
        </is>
      </c>
      <c r="D33" s="26">
        <f>IFERROR(IF('IP Input Sheet'!D7&lt;&gt;"",'IP Input Sheet'!D7,IF('IP Input Sheet'!E7&lt;&gt;"",'IP Input Sheet'!E7,'IP Input Sheet'!F7)),"[Enter IP]")</f>
        <v/>
      </c>
      <c r="E33" s="26" t="inlineStr">
        <is>
          <t>Supervisor Control Plane VIP</t>
        </is>
      </c>
      <c r="F33" s="26">
        <f>IFERROR(IF('IP Input Sheet'!D13&lt;&gt;"",'IP Input Sheet'!D13,IF('IP Input Sheet'!E13&lt;&gt;"",'IP Input Sheet'!E13,'IP Input Sheet'!F13)),"[Enter IP]")</f>
        <v/>
      </c>
      <c r="G33" s="26" t="inlineStr">
        <is>
          <t>443</t>
        </is>
      </c>
      <c r="H33" s="26" t="inlineStr">
        <is>
          <t>TCP</t>
        </is>
      </c>
      <c r="I33" s="26" t="inlineStr">
        <is>
          <t>vSphere Supervisor API via LB</t>
        </is>
      </c>
      <c r="J33" s="24" t="inlineStr">
        <is>
          <t>Allow</t>
        </is>
      </c>
      <c r="K33" s="25" t="inlineStr">
        <is>
          <t>Gateway FW</t>
        </is>
      </c>
      <c r="L33" s="26" t="inlineStr">
        <is>
          <t>Outbound</t>
        </is>
      </c>
      <c r="M33" s="26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8" customHeight="1" s="46">
      <c r="A34" s="23" t="inlineStr">
        <is>
          <t>VA-07</t>
        </is>
      </c>
      <c r="B34" s="23" t="inlineStr">
        <is>
          <t>VCF Auto → Supervisor VIP (6443)</t>
        </is>
      </c>
      <c r="C34" s="23" t="inlineStr">
        <is>
          <t>VCF Automation (VCFA)</t>
        </is>
      </c>
      <c r="D34" s="23">
        <f>IFERROR(IF('IP Input Sheet'!D7&lt;&gt;"",'IP Input Sheet'!D7,IF('IP Input Sheet'!E7&lt;&gt;"",'IP Input Sheet'!E7,'IP Input Sheet'!F7)),"[Enter IP]")</f>
        <v/>
      </c>
      <c r="E34" s="23" t="inlineStr">
        <is>
          <t>Supervisor Control Plane VIP</t>
        </is>
      </c>
      <c r="F34" s="23">
        <f>IFERROR(IF('IP Input Sheet'!D13&lt;&gt;"",'IP Input Sheet'!D13,IF('IP Input Sheet'!E13&lt;&gt;"",'IP Input Sheet'!E13,'IP Input Sheet'!F13)),"[Enter IP]")</f>
        <v/>
      </c>
      <c r="G34" s="23" t="inlineStr">
        <is>
          <t>6443</t>
        </is>
      </c>
      <c r="H34" s="23" t="inlineStr">
        <is>
          <t>TCP</t>
        </is>
      </c>
      <c r="I34" s="23" t="inlineStr">
        <is>
          <t>Kubernetes API server</t>
        </is>
      </c>
      <c r="J34" s="24" t="inlineStr">
        <is>
          <t>Allow</t>
        </is>
      </c>
      <c r="K34" s="25" t="inlineStr">
        <is>
          <t>Gateway FW</t>
        </is>
      </c>
      <c r="L34" s="23" t="inlineStr">
        <is>
          <t>Outbound</t>
        </is>
      </c>
      <c r="M34" s="23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8" customHeight="1" s="46">
      <c r="A35" s="26" t="inlineStr">
        <is>
          <t>VN-01</t>
        </is>
      </c>
      <c r="B35" s="26" t="inlineStr">
        <is>
          <t>VON → vCenter (IPFIX)</t>
        </is>
      </c>
      <c r="C35" s="26" t="inlineStr">
        <is>
          <t>VCF Ops for Networks (VON)</t>
        </is>
      </c>
      <c r="D35" s="26">
        <f>IFERROR(IF('IP Input Sheet'!D9&lt;&gt;"",'IP Input Sheet'!D9,IF('IP Input Sheet'!E9&lt;&gt;"",'IP Input Sheet'!E9,'IP Input Sheet'!F9)),"[Enter IP]")</f>
        <v/>
      </c>
      <c r="E35" s="26" t="inlineStr">
        <is>
          <t>vCenter Server</t>
        </is>
      </c>
      <c r="F35" s="26">
        <f>IFERROR(IF('IP Input Sheet'!D13&lt;&gt;"",'IP Input Sheet'!D13,IF('IP Input Sheet'!E13&lt;&gt;"",'IP Input Sheet'!E13,'IP Input Sheet'!F13)),"[Enter IP]")</f>
        <v/>
      </c>
      <c r="G35" s="26" t="inlineStr">
        <is>
          <t>2055</t>
        </is>
      </c>
      <c r="H35" s="26" t="inlineStr">
        <is>
          <t>TCP</t>
        </is>
      </c>
      <c r="I35" s="26" t="inlineStr">
        <is>
          <t>IPFIX (deprecated → use 4739)</t>
        </is>
      </c>
      <c r="J35" s="24" t="inlineStr">
        <is>
          <t>Allow</t>
        </is>
      </c>
      <c r="K35" s="25" t="inlineStr">
        <is>
          <t>Gateway FW</t>
        </is>
      </c>
      <c r="L35" s="26" t="inlineStr">
        <is>
          <t>Outbound</t>
        </is>
      </c>
      <c r="M35" s="26" t="inlineStr">
        <is>
          <t>Port 2055 deprecated</t>
        </is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8" customHeight="1" s="46">
      <c r="A36" s="23" t="inlineStr">
        <is>
          <t>VN-02</t>
        </is>
      </c>
      <c r="B36" s="23" t="inlineStr">
        <is>
          <t>VON → ESXi (IPFIX)</t>
        </is>
      </c>
      <c r="C36" s="23" t="inlineStr">
        <is>
          <t>VCF Ops for Networks (VON)</t>
        </is>
      </c>
      <c r="D36" s="23">
        <f>IFERROR(IF('IP Input Sheet'!D9&lt;&gt;"",'IP Input Sheet'!D9,IF('IP Input Sheet'!E9&lt;&gt;"",'IP Input Sheet'!E9,'IP Input Sheet'!F9)),"[Enter IP]")</f>
        <v/>
      </c>
      <c r="E36" s="23" t="inlineStr">
        <is>
          <t>ESXi Hosts (WLD)</t>
        </is>
      </c>
      <c r="F36" s="23">
        <f>IFERROR(IF('IP Input Sheet'!D54&lt;&gt;"",'IP Input Sheet'!D54,IF('IP Input Sheet'!E54&lt;&gt;"",'IP Input Sheet'!E54,'IP Input Sheet'!F54)),"[Enter IP]")</f>
        <v/>
      </c>
      <c r="G36" s="23" t="inlineStr">
        <is>
          <t>4739</t>
        </is>
      </c>
      <c r="H36" s="23" t="inlineStr">
        <is>
          <t>TCP/UDP</t>
        </is>
      </c>
      <c r="I36" s="23" t="inlineStr">
        <is>
          <t>IPFIX + NETFLOW export</t>
        </is>
      </c>
      <c r="J36" s="24" t="inlineStr">
        <is>
          <t>Allow</t>
        </is>
      </c>
      <c r="K36" s="25" t="inlineStr">
        <is>
          <t>Gateway FW</t>
        </is>
      </c>
      <c r="L36" s="23" t="inlineStr">
        <is>
          <t>Outbound</t>
        </is>
      </c>
      <c r="M36" s="23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8" customHeight="1" s="46">
      <c r="A37" s="26" t="inlineStr">
        <is>
          <t>VN-03</t>
        </is>
      </c>
      <c r="B37" s="26" t="inlineStr">
        <is>
          <t>VON → NSX Manager</t>
        </is>
      </c>
      <c r="C37" s="26" t="inlineStr">
        <is>
          <t>VCF Ops for Networks (VON)</t>
        </is>
      </c>
      <c r="D37" s="26">
        <f>IFERROR(IF('IP Input Sheet'!D9&lt;&gt;"",'IP Input Sheet'!D9,IF('IP Input Sheet'!E9&lt;&gt;"",'IP Input Sheet'!E9,'IP Input Sheet'!F9)),"[Enter IP]")</f>
        <v/>
      </c>
      <c r="E37" s="26" t="inlineStr">
        <is>
          <t>NSX Manager</t>
        </is>
      </c>
      <c r="F37" s="26">
        <f>IFERROR(IF('IP Input Sheet'!D14&lt;&gt;"",'IP Input Sheet'!D14,IF('IP Input Sheet'!E14&lt;&gt;"",'IP Input Sheet'!E14,'IP Input Sheet'!F14)),"[Enter IP]")</f>
        <v/>
      </c>
      <c r="G37" s="26" t="inlineStr">
        <is>
          <t>443</t>
        </is>
      </c>
      <c r="H37" s="26" t="inlineStr">
        <is>
          <t>TCP</t>
        </is>
      </c>
      <c r="I37" s="26" t="inlineStr">
        <is>
          <t>HTTPS NSX API — inventory+config+events</t>
        </is>
      </c>
      <c r="J37" s="24" t="inlineStr">
        <is>
          <t>Allow</t>
        </is>
      </c>
      <c r="K37" s="25" t="inlineStr">
        <is>
          <t>Gateway FW</t>
        </is>
      </c>
      <c r="L37" s="26" t="inlineStr">
        <is>
          <t>Outbound</t>
        </is>
      </c>
      <c r="M37" s="26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8" customHeight="1" s="46">
      <c r="A38" s="23" t="inlineStr">
        <is>
          <t>VN-04</t>
        </is>
      </c>
      <c r="B38" s="23" t="inlineStr">
        <is>
          <t>VON → DNS</t>
        </is>
      </c>
      <c r="C38" s="23" t="inlineStr">
        <is>
          <t>VCF Ops for Networks (VON)</t>
        </is>
      </c>
      <c r="D38" s="23">
        <f>IFERROR(IF('IP Input Sheet'!D9&lt;&gt;"",'IP Input Sheet'!D9,IF('IP Input Sheet'!E9&lt;&gt;"",'IP Input Sheet'!E9,'IP Input Sheet'!F9)),"[Enter IP]")</f>
        <v/>
      </c>
      <c r="E38" s="23" t="inlineStr">
        <is>
          <t>DNS Server</t>
        </is>
      </c>
      <c r="F38" s="23">
        <f>'IP Input Sheet'!D60</f>
        <v/>
      </c>
      <c r="G38" s="23" t="inlineStr">
        <is>
          <t>53</t>
        </is>
      </c>
      <c r="H38" s="23" t="inlineStr">
        <is>
          <t>TCP</t>
        </is>
      </c>
      <c r="I38" s="23" t="inlineStr">
        <is>
          <t>DNS name resolution</t>
        </is>
      </c>
      <c r="J38" s="24" t="inlineStr">
        <is>
          <t>Allow</t>
        </is>
      </c>
      <c r="K38" s="25" t="inlineStr">
        <is>
          <t>Gateway FW</t>
        </is>
      </c>
      <c r="L38" s="23" t="inlineStr">
        <is>
          <t>Outbound</t>
        </is>
      </c>
      <c r="M38" s="23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8" customHeight="1" s="46">
      <c r="A39" s="26" t="inlineStr">
        <is>
          <t>VN-05</t>
        </is>
      </c>
      <c r="B39" s="26" t="inlineStr">
        <is>
          <t>VON → NTP</t>
        </is>
      </c>
      <c r="C39" s="26" t="inlineStr">
        <is>
          <t>VCF Ops for Networks (VON)</t>
        </is>
      </c>
      <c r="D39" s="26">
        <f>IFERROR(IF('IP Input Sheet'!D9&lt;&gt;"",'IP Input Sheet'!D9,IF('IP Input Sheet'!E9&lt;&gt;"",'IP Input Sheet'!E9,'IP Input Sheet'!F9)),"[Enter IP]")</f>
        <v/>
      </c>
      <c r="E39" s="26" t="inlineStr">
        <is>
          <t>NTP Server</t>
        </is>
      </c>
      <c r="F39" s="26">
        <f>'IP Input Sheet'!D61</f>
        <v/>
      </c>
      <c r="G39" s="26" t="inlineStr">
        <is>
          <t>123</t>
        </is>
      </c>
      <c r="H39" s="26" t="inlineStr">
        <is>
          <t>UDP</t>
        </is>
      </c>
      <c r="I39" s="26" t="inlineStr">
        <is>
          <t>Time server</t>
        </is>
      </c>
      <c r="J39" s="24" t="inlineStr">
        <is>
          <t>Allow</t>
        </is>
      </c>
      <c r="K39" s="25" t="inlineStr">
        <is>
          <t>Gateway FW</t>
        </is>
      </c>
      <c r="L39" s="26" t="inlineStr">
        <is>
          <t>Outbound</t>
        </is>
      </c>
      <c r="M39" s="26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8" customHeight="1" s="46">
      <c r="A40" s="23" t="inlineStr">
        <is>
          <t>VN-06</t>
        </is>
      </c>
      <c r="B40" s="23" t="inlineStr">
        <is>
          <t>VON → Switches (SNMP)</t>
        </is>
      </c>
      <c r="C40" s="23" t="inlineStr">
        <is>
          <t>VCF Ops for Networks (VON)</t>
        </is>
      </c>
      <c r="D40" s="23">
        <f>IFERROR(IF('IP Input Sheet'!D9&lt;&gt;"",'IP Input Sheet'!D9,IF('IP Input Sheet'!E9&lt;&gt;"",'IP Input Sheet'!E9,'IP Input Sheet'!F9)),"[Enter IP]")</f>
        <v/>
      </c>
      <c r="E40" s="23" t="inlineStr">
        <is>
          <t>Multi-Vendor Switches/Routers</t>
        </is>
      </c>
      <c r="F40" s="23" t="inlineStr">
        <is>
          <t>[Physical Device IPs]</t>
        </is>
      </c>
      <c r="G40" s="23" t="inlineStr">
        <is>
          <t>161</t>
        </is>
      </c>
      <c r="H40" s="23" t="inlineStr">
        <is>
          <t>TCP</t>
        </is>
      </c>
      <c r="I40" s="23" t="inlineStr">
        <is>
          <t>SNMP Polling</t>
        </is>
      </c>
      <c r="J40" s="24" t="inlineStr">
        <is>
          <t>Allow</t>
        </is>
      </c>
      <c r="K40" s="25" t="inlineStr">
        <is>
          <t>Gateway FW</t>
        </is>
      </c>
      <c r="L40" s="23" t="inlineStr">
        <is>
          <t>Outbound</t>
        </is>
      </c>
      <c r="M40" s="23" t="inlineStr">
        <is>
          <t>Confirm physical device IPs with network team</t>
        </is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8" customHeight="1" s="46">
      <c r="A41" s="26" t="inlineStr">
        <is>
          <t>VN-07</t>
        </is>
      </c>
      <c r="B41" s="26" t="inlineStr">
        <is>
          <t>VON → VON Collector (HTTPS)</t>
        </is>
      </c>
      <c r="C41" s="26" t="inlineStr">
        <is>
          <t>VCF Ops for Networks (VON)</t>
        </is>
      </c>
      <c r="D41" s="26">
        <f>IFERROR(IF('IP Input Sheet'!D9&lt;&gt;"",'IP Input Sheet'!D9,IF('IP Input Sheet'!E9&lt;&gt;"",'IP Input Sheet'!E9,'IP Input Sheet'!F9)),"[Enter IP]")</f>
        <v/>
      </c>
      <c r="E41" s="26" t="inlineStr">
        <is>
          <t>VCF OPS Network Collector (M7)</t>
        </is>
      </c>
      <c r="F41" s="26">
        <f>IFERROR(IF('IP Input Sheet'!D19&lt;&gt;"",'IP Input Sheet'!D19,IF('IP Input Sheet'!E19&lt;&gt;"",'IP Input Sheet'!E19,'IP Input Sheet'!F19)),"[Enter IP]")</f>
        <v/>
      </c>
      <c r="G41" s="26" t="inlineStr">
        <is>
          <t>443</t>
        </is>
      </c>
      <c r="H41" s="26" t="inlineStr">
        <is>
          <t>TCP</t>
        </is>
      </c>
      <c r="I41" s="26" t="inlineStr">
        <is>
          <t>VON Collector API — flow collection</t>
        </is>
      </c>
      <c r="J41" s="24" t="inlineStr">
        <is>
          <t>Allow</t>
        </is>
      </c>
      <c r="K41" s="25" t="inlineStr">
        <is>
          <t>Gateway FW</t>
        </is>
      </c>
      <c r="L41" s="26" t="inlineStr">
        <is>
          <t>Outbound</t>
        </is>
      </c>
      <c r="M41" s="26" t="inlineStr">
        <is>
          <t>M7 — added per Raju</t>
        </is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8" customHeight="1" s="46">
      <c r="A42" s="23" t="inlineStr">
        <is>
          <t>VN-08</t>
        </is>
      </c>
      <c r="B42" s="23" t="inlineStr">
        <is>
          <t>VON → VON Collector (SSH)</t>
        </is>
      </c>
      <c r="C42" s="23" t="inlineStr">
        <is>
          <t>VCF Ops for Networks (VON)</t>
        </is>
      </c>
      <c r="D42" s="23">
        <f>IFERROR(IF('IP Input Sheet'!D9&lt;&gt;"",'IP Input Sheet'!D9,IF('IP Input Sheet'!E9&lt;&gt;"",'IP Input Sheet'!E9,'IP Input Sheet'!F9)),"[Enter IP]")</f>
        <v/>
      </c>
      <c r="E42" s="23" t="inlineStr">
        <is>
          <t>VCF OPS Network Collector (M7)</t>
        </is>
      </c>
      <c r="F42" s="23">
        <f>IFERROR(IF('IP Input Sheet'!D19&lt;&gt;"",'IP Input Sheet'!D19,IF('IP Input Sheet'!E19&lt;&gt;"",'IP Input Sheet'!E19,'IP Input Sheet'!F19)),"[Enter IP]")</f>
        <v/>
      </c>
      <c r="G42" s="23" t="inlineStr">
        <is>
          <t>22</t>
        </is>
      </c>
      <c r="H42" s="23" t="inlineStr">
        <is>
          <t>TCP</t>
        </is>
      </c>
      <c r="I42" s="23" t="inlineStr">
        <is>
          <t>SSH management — collector node</t>
        </is>
      </c>
      <c r="J42" s="24" t="inlineStr">
        <is>
          <t>Allow</t>
        </is>
      </c>
      <c r="K42" s="25" t="inlineStr">
        <is>
          <t>Gateway FW</t>
        </is>
      </c>
      <c r="L42" s="23" t="inlineStr">
        <is>
          <t>Outbound</t>
        </is>
      </c>
      <c r="M42" s="23" t="inlineStr">
        <is>
          <t>M7 — Admin, restrict to jump host</t>
        </is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8" customHeight="1" s="46">
      <c r="A43" s="26" t="inlineStr">
        <is>
          <t>VO-11</t>
        </is>
      </c>
      <c r="B43" s="26" t="inlineStr">
        <is>
          <t>VCFO → VON Collector</t>
        </is>
      </c>
      <c r="C43" s="26" t="inlineStr">
        <is>
          <t>VCF Operations (VCFO)</t>
        </is>
      </c>
      <c r="D43" s="26">
        <f>IFERROR(IF('IP Input Sheet'!D6&lt;&gt;"",'IP Input Sheet'!D6,IF('IP Input Sheet'!E6&lt;&gt;"",'IP Input Sheet'!E6,'IP Input Sheet'!F6)),"[Enter IP]")</f>
        <v/>
      </c>
      <c r="E43" s="26" t="inlineStr">
        <is>
          <t>VCF OPS Network Collector (M7)</t>
        </is>
      </c>
      <c r="F43" s="26">
        <f>IFERROR(IF('IP Input Sheet'!D19&lt;&gt;"",'IP Input Sheet'!D19,IF('IP Input Sheet'!E19&lt;&gt;"",'IP Input Sheet'!E19,'IP Input Sheet'!F19)),"[Enter IP]")</f>
        <v/>
      </c>
      <c r="G43" s="26" t="inlineStr">
        <is>
          <t>443</t>
        </is>
      </c>
      <c r="H43" s="26" t="inlineStr">
        <is>
          <t>TCP</t>
        </is>
      </c>
      <c r="I43" s="26" t="inlineStr">
        <is>
          <t>VCFO → collector metrics/config</t>
        </is>
      </c>
      <c r="J43" s="24" t="inlineStr">
        <is>
          <t>Allow</t>
        </is>
      </c>
      <c r="K43" s="25" t="inlineStr">
        <is>
          <t>Gateway FW</t>
        </is>
      </c>
      <c r="L43" s="26" t="inlineStr">
        <is>
          <t>Outbound</t>
        </is>
      </c>
      <c r="M43" s="26" t="inlineStr">
        <is>
          <t>M7 — per Raju</t>
        </is>
      </c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8" customHeight="1" s="46">
      <c r="A44" s="27" t="inlineStr">
        <is>
          <t>BGP-01</t>
        </is>
      </c>
      <c r="B44" s="27" t="inlineStr">
        <is>
          <t>Edge 1 Uplink1 → ToR Rack1 BGP (VLAN 2606)</t>
        </is>
      </c>
      <c r="C44" s="27" t="inlineStr">
        <is>
          <t>NSX Edge 1 — Uplink 1 (Rack 1)</t>
        </is>
      </c>
      <c r="D44" s="27">
        <f>IFERROR(IF('IP Input Sheet'!D22&lt;&gt;"",'IP Input Sheet'!D22,IF('IP Input Sheet'!E22&lt;&gt;"",'IP Input Sheet'!E22,'IP Input Sheet'!F22)),"[Enter IP]")</f>
        <v/>
      </c>
      <c r="E44" s="27" t="inlineStr">
        <is>
          <t>ToR BGP Peer (VLAN 2606)</t>
        </is>
      </c>
      <c r="F44" s="27">
        <f>IFERROR(IF('IP Input Sheet'!D32&lt;&gt;"",'IP Input Sheet'!D32,IF('IP Input Sheet'!E32&lt;&gt;"",'IP Input Sheet'!E32,'IP Input Sheet'!F32)),"[Enter IP]")</f>
        <v/>
      </c>
      <c r="G44" s="27" t="inlineStr">
        <is>
          <t>179</t>
        </is>
      </c>
      <c r="H44" s="27" t="inlineStr">
        <is>
          <t>TCP</t>
        </is>
      </c>
      <c r="I44" s="27" t="inlineStr">
        <is>
          <t>BGP peering — bidirectional</t>
        </is>
      </c>
      <c r="J44" s="24" t="inlineStr">
        <is>
          <t>Allow</t>
        </is>
      </c>
      <c r="K44" s="28" t="inlineStr">
        <is>
          <t>Gateway FW</t>
        </is>
      </c>
      <c r="L44" s="27" t="inlineStr">
        <is>
          <t>Bidirectional</t>
        </is>
      </c>
      <c r="M44" s="27" t="inlineStr">
        <is>
          <t>EU1→EU11</t>
        </is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8" customHeight="1" s="46">
      <c r="A45" s="29" t="inlineStr">
        <is>
          <t>BGP-02</t>
        </is>
      </c>
      <c r="B45" s="29" t="inlineStr">
        <is>
          <t>Edge 1 Uplink2 → ToR Rack1 BGP (VLAN 2607)</t>
        </is>
      </c>
      <c r="C45" s="29" t="inlineStr">
        <is>
          <t>NSX Edge 1 — Uplink 2 (Rack 1)</t>
        </is>
      </c>
      <c r="D45" s="29">
        <f>IFERROR(IF('IP Input Sheet'!D23&lt;&gt;"",'IP Input Sheet'!D23,IF('IP Input Sheet'!E23&lt;&gt;"",'IP Input Sheet'!E23,'IP Input Sheet'!F23)),"[Enter IP]")</f>
        <v/>
      </c>
      <c r="E45" s="29" t="inlineStr">
        <is>
          <t>ToR BGP Peer (VLAN 2607)</t>
        </is>
      </c>
      <c r="F45" s="29">
        <f>IFERROR(IF('IP Input Sheet'!D33&lt;&gt;"",'IP Input Sheet'!D33,IF('IP Input Sheet'!E33&lt;&gt;"",'IP Input Sheet'!E33,'IP Input Sheet'!F33)),"[Enter IP]")</f>
        <v/>
      </c>
      <c r="G45" s="29" t="inlineStr">
        <is>
          <t>179</t>
        </is>
      </c>
      <c r="H45" s="29" t="inlineStr">
        <is>
          <t>TCP</t>
        </is>
      </c>
      <c r="I45" s="29" t="inlineStr">
        <is>
          <t>BGP peering — bidirectional</t>
        </is>
      </c>
      <c r="J45" s="24" t="inlineStr">
        <is>
          <t>Allow</t>
        </is>
      </c>
      <c r="K45" s="28" t="inlineStr">
        <is>
          <t>Gateway FW</t>
        </is>
      </c>
      <c r="L45" s="29" t="inlineStr">
        <is>
          <t>Bidirectional</t>
        </is>
      </c>
      <c r="M45" s="29" t="inlineStr">
        <is>
          <t>EU2→EU12</t>
        </is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8" customHeight="1" s="46">
      <c r="A46" s="27" t="inlineStr">
        <is>
          <t>BGP-03</t>
        </is>
      </c>
      <c r="B46" s="27" t="inlineStr">
        <is>
          <t>Edge 2 Uplink1 → ToR Rack1 BGP (VLAN 2606)</t>
        </is>
      </c>
      <c r="C46" s="27" t="inlineStr">
        <is>
          <t>NSX Edge 2 — Uplink 1 (Rack 1)</t>
        </is>
      </c>
      <c r="D46" s="27">
        <f>IFERROR(IF('IP Input Sheet'!D24&lt;&gt;"",'IP Input Sheet'!D24,IF('IP Input Sheet'!E24&lt;&gt;"",'IP Input Sheet'!E24,'IP Input Sheet'!F24)),"[Enter IP]")</f>
        <v/>
      </c>
      <c r="E46" s="27" t="inlineStr">
        <is>
          <t>ToR BGP Peer (VLAN 2606)</t>
        </is>
      </c>
      <c r="F46" s="27">
        <f>IFERROR(IF('IP Input Sheet'!D32&lt;&gt;"",'IP Input Sheet'!D32,IF('IP Input Sheet'!E32&lt;&gt;"",'IP Input Sheet'!E32,'IP Input Sheet'!F32)),"[Enter IP]")</f>
        <v/>
      </c>
      <c r="G46" s="27" t="inlineStr">
        <is>
          <t>179</t>
        </is>
      </c>
      <c r="H46" s="27" t="inlineStr">
        <is>
          <t>TCP</t>
        </is>
      </c>
      <c r="I46" s="27" t="inlineStr">
        <is>
          <t>BGP peering — bidirectional</t>
        </is>
      </c>
      <c r="J46" s="24" t="inlineStr">
        <is>
          <t>Allow</t>
        </is>
      </c>
      <c r="K46" s="28" t="inlineStr">
        <is>
          <t>Gateway FW</t>
        </is>
      </c>
      <c r="L46" s="27" t="inlineStr">
        <is>
          <t>Bidirectional</t>
        </is>
      </c>
      <c r="M46" s="27" t="inlineStr">
        <is>
          <t>EU3→EU11</t>
        </is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8" customHeight="1" s="46">
      <c r="A47" s="29" t="inlineStr">
        <is>
          <t>BGP-04</t>
        </is>
      </c>
      <c r="B47" s="29" t="inlineStr">
        <is>
          <t>Edge 2 Uplink2 → ToR Rack1 BGP (VLAN 2607)</t>
        </is>
      </c>
      <c r="C47" s="29" t="inlineStr">
        <is>
          <t>NSX Edge 2 — Uplink 2 (Rack 1)</t>
        </is>
      </c>
      <c r="D47" s="29">
        <f>IFERROR(IF('IP Input Sheet'!D25&lt;&gt;"",'IP Input Sheet'!D25,IF('IP Input Sheet'!E25&lt;&gt;"",'IP Input Sheet'!E25,'IP Input Sheet'!F25)),"[Enter IP]")</f>
        <v/>
      </c>
      <c r="E47" s="29" t="inlineStr">
        <is>
          <t>ToR BGP Peer (VLAN 2607)</t>
        </is>
      </c>
      <c r="F47" s="29">
        <f>IFERROR(IF('IP Input Sheet'!D33&lt;&gt;"",'IP Input Sheet'!D33,IF('IP Input Sheet'!E33&lt;&gt;"",'IP Input Sheet'!E33,'IP Input Sheet'!F33)),"[Enter IP]")</f>
        <v/>
      </c>
      <c r="G47" s="29" t="inlineStr">
        <is>
          <t>179</t>
        </is>
      </c>
      <c r="H47" s="29" t="inlineStr">
        <is>
          <t>TCP</t>
        </is>
      </c>
      <c r="I47" s="29" t="inlineStr">
        <is>
          <t>BGP peering — bidirectional</t>
        </is>
      </c>
      <c r="J47" s="24" t="inlineStr">
        <is>
          <t>Allow</t>
        </is>
      </c>
      <c r="K47" s="28" t="inlineStr">
        <is>
          <t>Gateway FW</t>
        </is>
      </c>
      <c r="L47" s="29" t="inlineStr">
        <is>
          <t>Bidirectional</t>
        </is>
      </c>
      <c r="M47" s="29" t="inlineStr">
        <is>
          <t>EU4→EU12</t>
        </is>
      </c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8" customHeight="1" s="46">
      <c r="A48" s="27" t="inlineStr">
        <is>
          <t>BGP-05</t>
        </is>
      </c>
      <c r="B48" s="27" t="inlineStr">
        <is>
          <t>Edge 3 Uplink1 → ToR Rack2 BGP (VLAN 2608)</t>
        </is>
      </c>
      <c r="C48" s="27" t="inlineStr">
        <is>
          <t>NSX Edge 3 — Uplink 1 (Rack 2)</t>
        </is>
      </c>
      <c r="D48" s="27">
        <f>IFERROR(IF('IP Input Sheet'!D26&lt;&gt;"",'IP Input Sheet'!D26,IF('IP Input Sheet'!E26&lt;&gt;"",'IP Input Sheet'!E26,'IP Input Sheet'!F26)),"[Enter IP]")</f>
        <v/>
      </c>
      <c r="E48" s="27" t="inlineStr">
        <is>
          <t>ToR BGP Peer (VLAN 2608)</t>
        </is>
      </c>
      <c r="F48" s="27">
        <f>IFERROR(IF('IP Input Sheet'!D34&lt;&gt;"",'IP Input Sheet'!D34,IF('IP Input Sheet'!E34&lt;&gt;"",'IP Input Sheet'!E34,'IP Input Sheet'!F34)),"[Enter IP]")</f>
        <v/>
      </c>
      <c r="G48" s="27" t="inlineStr">
        <is>
          <t>179</t>
        </is>
      </c>
      <c r="H48" s="27" t="inlineStr">
        <is>
          <t>TCP</t>
        </is>
      </c>
      <c r="I48" s="27" t="inlineStr">
        <is>
          <t>BGP peering — bidirectional</t>
        </is>
      </c>
      <c r="J48" s="24" t="inlineStr">
        <is>
          <t>Allow</t>
        </is>
      </c>
      <c r="K48" s="28" t="inlineStr">
        <is>
          <t>Gateway FW</t>
        </is>
      </c>
      <c r="L48" s="27" t="inlineStr">
        <is>
          <t>Bidirectional</t>
        </is>
      </c>
      <c r="M48" s="27" t="inlineStr">
        <is>
          <t>EU5→EU13</t>
        </is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8" customHeight="1" s="46">
      <c r="A49" s="29" t="inlineStr">
        <is>
          <t>BGP-06</t>
        </is>
      </c>
      <c r="B49" s="29" t="inlineStr">
        <is>
          <t>Edge 3 Uplink2 → ToR Rack2 BGP (VLAN 2609)</t>
        </is>
      </c>
      <c r="C49" s="29" t="inlineStr">
        <is>
          <t>NSX Edge 3 — Uplink 2 (Rack 2)</t>
        </is>
      </c>
      <c r="D49" s="29">
        <f>IFERROR(IF('IP Input Sheet'!D27&lt;&gt;"",'IP Input Sheet'!D27,IF('IP Input Sheet'!E27&lt;&gt;"",'IP Input Sheet'!E27,'IP Input Sheet'!F27)),"[Enter IP]")</f>
        <v/>
      </c>
      <c r="E49" s="29" t="inlineStr">
        <is>
          <t>ToR BGP Peer (VLAN 2609)</t>
        </is>
      </c>
      <c r="F49" s="29">
        <f>IFERROR(IF('IP Input Sheet'!D35&lt;&gt;"",'IP Input Sheet'!D35,IF('IP Input Sheet'!E35&lt;&gt;"",'IP Input Sheet'!E35,'IP Input Sheet'!F35)),"[Enter IP]")</f>
        <v/>
      </c>
      <c r="G49" s="29" t="inlineStr">
        <is>
          <t>179</t>
        </is>
      </c>
      <c r="H49" s="29" t="inlineStr">
        <is>
          <t>TCP</t>
        </is>
      </c>
      <c r="I49" s="29" t="inlineStr">
        <is>
          <t>BGP peering — bidirectional</t>
        </is>
      </c>
      <c r="J49" s="24" t="inlineStr">
        <is>
          <t>Allow</t>
        </is>
      </c>
      <c r="K49" s="28" t="inlineStr">
        <is>
          <t>Gateway FW</t>
        </is>
      </c>
      <c r="L49" s="29" t="inlineStr">
        <is>
          <t>Bidirectional</t>
        </is>
      </c>
      <c r="M49" s="29" t="inlineStr">
        <is>
          <t>EU6→EU14</t>
        </is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8" customHeight="1" s="46">
      <c r="A50" s="27" t="inlineStr">
        <is>
          <t>BGP-07</t>
        </is>
      </c>
      <c r="B50" s="27" t="inlineStr">
        <is>
          <t>Edge 4 Uplink1 → ToR Rack2 BGP (VLAN 2608)</t>
        </is>
      </c>
      <c r="C50" s="27" t="inlineStr">
        <is>
          <t>NSX Edge 4 — Uplink 1 (Rack 2)</t>
        </is>
      </c>
      <c r="D50" s="27">
        <f>IFERROR(IF('IP Input Sheet'!D28&lt;&gt;"",'IP Input Sheet'!D28,IF('IP Input Sheet'!E28&lt;&gt;"",'IP Input Sheet'!E28,'IP Input Sheet'!F28)),"[Enter IP]")</f>
        <v/>
      </c>
      <c r="E50" s="27" t="inlineStr">
        <is>
          <t>ToR BGP Peer (VLAN 2608)</t>
        </is>
      </c>
      <c r="F50" s="27">
        <f>IFERROR(IF('IP Input Sheet'!D34&lt;&gt;"",'IP Input Sheet'!D34,IF('IP Input Sheet'!E34&lt;&gt;"",'IP Input Sheet'!E34,'IP Input Sheet'!F34)),"[Enter IP]")</f>
        <v/>
      </c>
      <c r="G50" s="27" t="inlineStr">
        <is>
          <t>179</t>
        </is>
      </c>
      <c r="H50" s="27" t="inlineStr">
        <is>
          <t>TCP</t>
        </is>
      </c>
      <c r="I50" s="27" t="inlineStr">
        <is>
          <t>BGP peering — bidirectional</t>
        </is>
      </c>
      <c r="J50" s="24" t="inlineStr">
        <is>
          <t>Allow</t>
        </is>
      </c>
      <c r="K50" s="28" t="inlineStr">
        <is>
          <t>Gateway FW</t>
        </is>
      </c>
      <c r="L50" s="27" t="inlineStr">
        <is>
          <t>Bidirectional</t>
        </is>
      </c>
      <c r="M50" s="27" t="inlineStr">
        <is>
          <t>EU7→EU13</t>
        </is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8" customHeight="1" s="46">
      <c r="A51" s="29" t="inlineStr">
        <is>
          <t>BGP-08</t>
        </is>
      </c>
      <c r="B51" s="29" t="inlineStr">
        <is>
          <t>Edge 4 Uplink2 → ToR Rack2 BGP (VLAN 2609)</t>
        </is>
      </c>
      <c r="C51" s="29" t="inlineStr">
        <is>
          <t>NSX Edge 4 — Uplink 2 (Rack 2)</t>
        </is>
      </c>
      <c r="D51" s="29">
        <f>IFERROR(IF('IP Input Sheet'!D29&lt;&gt;"",'IP Input Sheet'!D29,IF('IP Input Sheet'!E29&lt;&gt;"",'IP Input Sheet'!E29,'IP Input Sheet'!F29)),"[Enter IP]")</f>
        <v/>
      </c>
      <c r="E51" s="29" t="inlineStr">
        <is>
          <t>ToR BGP Peer (VLAN 2609)</t>
        </is>
      </c>
      <c r="F51" s="29">
        <f>IFERROR(IF('IP Input Sheet'!D35&lt;&gt;"",'IP Input Sheet'!D35,IF('IP Input Sheet'!E35&lt;&gt;"",'IP Input Sheet'!E35,'IP Input Sheet'!F35)),"[Enter IP]")</f>
        <v/>
      </c>
      <c r="G51" s="29" t="inlineStr">
        <is>
          <t>179</t>
        </is>
      </c>
      <c r="H51" s="29" t="inlineStr">
        <is>
          <t>TCP</t>
        </is>
      </c>
      <c r="I51" s="29" t="inlineStr">
        <is>
          <t>BGP peering — bidirectional</t>
        </is>
      </c>
      <c r="J51" s="24" t="inlineStr">
        <is>
          <t>Allow</t>
        </is>
      </c>
      <c r="K51" s="28" t="inlineStr">
        <is>
          <t>Gateway FW</t>
        </is>
      </c>
      <c r="L51" s="29" t="inlineStr">
        <is>
          <t>Bidirectional</t>
        </is>
      </c>
      <c r="M51" s="29" t="inlineStr">
        <is>
          <t>EU8→EU14</t>
        </is>
      </c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8" customHeight="1" s="46">
      <c r="A52" s="27" t="inlineStr">
        <is>
          <t>TEP-01</t>
        </is>
      </c>
      <c r="B52" s="27" t="inlineStr">
        <is>
          <t>Edge TEP ↔ Host TEP (intra-AZ GENEVE)</t>
        </is>
      </c>
      <c r="C52" s="27" t="inlineStr">
        <is>
          <t>NSX Edge TEP</t>
        </is>
      </c>
      <c r="D52" s="27">
        <f>IFERROR(IF('IP Input Sheet'!D30&lt;&gt;"",'IP Input Sheet'!D30,IF('IP Input Sheet'!E30&lt;&gt;"",'IP Input Sheet'!E30,'IP Input Sheet'!F30)),"[Enter IP]")</f>
        <v/>
      </c>
      <c r="E52" s="27" t="inlineStr">
        <is>
          <t>NSX Host TEP (ESXi)</t>
        </is>
      </c>
      <c r="F52" s="27">
        <f>IFERROR(IF('IP Input Sheet'!D18&lt;&gt;"",'IP Input Sheet'!D18,IF('IP Input Sheet'!E18&lt;&gt;"",'IP Input Sheet'!E18,'IP Input Sheet'!F18)),"[Enter IP]")</f>
        <v/>
      </c>
      <c r="G52" s="27" t="inlineStr">
        <is>
          <t>6081</t>
        </is>
      </c>
      <c r="H52" s="27" t="inlineStr">
        <is>
          <t>UDP</t>
        </is>
      </c>
      <c r="I52" s="27" t="inlineStr">
        <is>
          <t>GENEVE intra-AZ overlay</t>
        </is>
      </c>
      <c r="J52" s="24" t="inlineStr">
        <is>
          <t>Allow</t>
        </is>
      </c>
      <c r="K52" s="28" t="inlineStr">
        <is>
          <t>Gateway FW</t>
        </is>
      </c>
      <c r="L52" s="27" t="inlineStr">
        <is>
          <t>Bidirectional</t>
        </is>
      </c>
      <c r="M52" s="27" t="inlineStr">
        <is>
          <t>EU9 — MTU 1600+ required</t>
        </is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8" customHeight="1" s="46">
      <c r="A53" s="29" t="inlineStr">
        <is>
          <t>TEP-02</t>
        </is>
      </c>
      <c r="B53" s="29" t="inlineStr">
        <is>
          <t>Edge TEP ↔ Edge TEP (HA heartbeat)</t>
        </is>
      </c>
      <c r="C53" s="29" t="inlineStr">
        <is>
          <t>NSX Edge TEP</t>
        </is>
      </c>
      <c r="D53" s="29">
        <f>IFERROR(IF('IP Input Sheet'!D30&lt;&gt;"",'IP Input Sheet'!D30,IF('IP Input Sheet'!E30&lt;&gt;"",'IP Input Sheet'!E30,'IP Input Sheet'!F30)),"[Enter IP]")</f>
        <v/>
      </c>
      <c r="E53" s="29" t="inlineStr">
        <is>
          <t>NSX Edge TEP (peer)</t>
        </is>
      </c>
      <c r="F53" s="29">
        <f>IFERROR(IF('IP Input Sheet'!D30&lt;&gt;"",'IP Input Sheet'!D30,IF('IP Input Sheet'!E30&lt;&gt;"",'IP Input Sheet'!E30,'IP Input Sheet'!F30)),"[Enter IP]")</f>
        <v/>
      </c>
      <c r="G53" s="29" t="inlineStr">
        <is>
          <t>6081</t>
        </is>
      </c>
      <c r="H53" s="29" t="inlineStr">
        <is>
          <t>UDP</t>
        </is>
      </c>
      <c r="I53" s="29" t="inlineStr">
        <is>
          <t>GENEVE intra-AZ Edge HA</t>
        </is>
      </c>
      <c r="J53" s="24" t="inlineStr">
        <is>
          <t>Allow</t>
        </is>
      </c>
      <c r="K53" s="28" t="inlineStr">
        <is>
          <t>Gateway FW</t>
        </is>
      </c>
      <c r="L53" s="29" t="inlineStr">
        <is>
          <t>Bidirectional</t>
        </is>
      </c>
      <c r="M53" s="29" t="inlineStr">
        <is>
          <t>EU9 — same AZ only</t>
        </is>
      </c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8" customHeight="1" s="46">
      <c r="A54" s="27" t="inlineStr">
        <is>
          <t>TEP-03</t>
        </is>
      </c>
      <c r="B54" s="27" t="inlineStr">
        <is>
          <t>Remote TEP cross-AZ GENEVE</t>
        </is>
      </c>
      <c r="C54" s="27" t="inlineStr">
        <is>
          <t>NSX Remote TEP (RTEP)</t>
        </is>
      </c>
      <c r="D54" s="27">
        <f>IFERROR(IF('IP Input Sheet'!D31&lt;&gt;"",'IP Input Sheet'!D31,IF('IP Input Sheet'!E31&lt;&gt;"",'IP Input Sheet'!E31,'IP Input Sheet'!F31)),"[Enter IP]")</f>
        <v/>
      </c>
      <c r="E54" s="27" t="inlineStr">
        <is>
          <t>NSX Remote TEP (peer AZ)</t>
        </is>
      </c>
      <c r="F54" s="27">
        <f>IFERROR(IF('IP Input Sheet'!D31&lt;&gt;"",'IP Input Sheet'!D31,IF('IP Input Sheet'!E31&lt;&gt;"",'IP Input Sheet'!E31,'IP Input Sheet'!F31)),"[Enter IP]")</f>
        <v/>
      </c>
      <c r="G54" s="27" t="inlineStr">
        <is>
          <t>6081</t>
        </is>
      </c>
      <c r="H54" s="27" t="inlineStr">
        <is>
          <t>UDP</t>
        </is>
      </c>
      <c r="I54" s="27" t="inlineStr">
        <is>
          <t>GENEVE cross-AZ via Super Spine</t>
        </is>
      </c>
      <c r="J54" s="24" t="inlineStr">
        <is>
          <t>Allow</t>
        </is>
      </c>
      <c r="K54" s="28" t="inlineStr">
        <is>
          <t>Gateway FW</t>
        </is>
      </c>
      <c r="L54" s="27" t="inlineStr">
        <is>
          <t>Bidirectional</t>
        </is>
      </c>
      <c r="M54" s="27" t="inlineStr">
        <is>
          <t>EU10 — VLAN 2605 via Super Spine</t>
        </is>
      </c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8" customHeight="1" s="46">
      <c r="A55" s="29" t="inlineStr">
        <is>
          <t>BFD-01</t>
        </is>
      </c>
      <c r="B55" s="29" t="inlineStr">
        <is>
          <t>BFD — Edge1 Uplink1 to ToR fast failover</t>
        </is>
      </c>
      <c r="C55" s="29" t="inlineStr">
        <is>
          <t>NSX Edge 1 Uplink 1</t>
        </is>
      </c>
      <c r="D55" s="29">
        <f>IFERROR(IF('IP Input Sheet'!D22&lt;&gt;"",'IP Input Sheet'!D22,IF('IP Input Sheet'!E22&lt;&gt;"",'IP Input Sheet'!E22,'IP Input Sheet'!F22)),"[Enter IP]")</f>
        <v/>
      </c>
      <c r="E55" s="29" t="inlineStr">
        <is>
          <t>ToR BGP Peer Rack1 VLAN2606</t>
        </is>
      </c>
      <c r="F55" s="29">
        <f>IFERROR(IF('IP Input Sheet'!D32&lt;&gt;"",'IP Input Sheet'!D32,IF('IP Input Sheet'!E32&lt;&gt;"",'IP Input Sheet'!E32,'IP Input Sheet'!F32)),"[Enter IP]")</f>
        <v/>
      </c>
      <c r="G55" s="29" t="inlineStr">
        <is>
          <t>3784</t>
        </is>
      </c>
      <c r="H55" s="29" t="inlineStr">
        <is>
          <t>UDP</t>
        </is>
      </c>
      <c r="I55" s="29" t="inlineStr">
        <is>
          <t>BFD fast failover</t>
        </is>
      </c>
      <c r="J55" s="24" t="inlineStr">
        <is>
          <t>Allow</t>
        </is>
      </c>
      <c r="K55" s="28" t="inlineStr">
        <is>
          <t>Gateway FW</t>
        </is>
      </c>
      <c r="L55" s="29" t="inlineStr">
        <is>
          <t>Bidirectional</t>
        </is>
      </c>
      <c r="M55" s="29" t="inlineStr">
        <is>
          <t>EU1→EU11</t>
        </is>
      </c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8" customHeight="1" s="46">
      <c r="A56" s="27" t="inlineStr">
        <is>
          <t>BFD-02</t>
        </is>
      </c>
      <c r="B56" s="27" t="inlineStr">
        <is>
          <t>BFD — Edge1 Uplink2 to ToR fast failover</t>
        </is>
      </c>
      <c r="C56" s="27" t="inlineStr">
        <is>
          <t>NSX Edge 1 Uplink 2</t>
        </is>
      </c>
      <c r="D56" s="27">
        <f>IFERROR(IF('IP Input Sheet'!D23&lt;&gt;"",'IP Input Sheet'!D23,IF('IP Input Sheet'!E23&lt;&gt;"",'IP Input Sheet'!E23,'IP Input Sheet'!F23)),"[Enter IP]")</f>
        <v/>
      </c>
      <c r="E56" s="27" t="inlineStr">
        <is>
          <t>ToR BGP Peer Rack1 VLAN2607</t>
        </is>
      </c>
      <c r="F56" s="27">
        <f>IFERROR(IF('IP Input Sheet'!D33&lt;&gt;"",'IP Input Sheet'!D33,IF('IP Input Sheet'!E33&lt;&gt;"",'IP Input Sheet'!E33,'IP Input Sheet'!F33)),"[Enter IP]")</f>
        <v/>
      </c>
      <c r="G56" s="27" t="inlineStr">
        <is>
          <t>3784</t>
        </is>
      </c>
      <c r="H56" s="27" t="inlineStr">
        <is>
          <t>UDP</t>
        </is>
      </c>
      <c r="I56" s="27" t="inlineStr">
        <is>
          <t>BFD fast failover</t>
        </is>
      </c>
      <c r="J56" s="24" t="inlineStr">
        <is>
          <t>Allow</t>
        </is>
      </c>
      <c r="K56" s="28" t="inlineStr">
        <is>
          <t>Gateway FW</t>
        </is>
      </c>
      <c r="L56" s="27" t="inlineStr">
        <is>
          <t>Bidirectional</t>
        </is>
      </c>
      <c r="M56" s="27" t="inlineStr">
        <is>
          <t>EU2→EU12</t>
        </is>
      </c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8" customHeight="1" s="46">
      <c r="A57" s="29" t="inlineStr">
        <is>
          <t>BFD-03</t>
        </is>
      </c>
      <c r="B57" s="29" t="inlineStr">
        <is>
          <t>BFD — Edge3 Uplink1 to ToR fast failover</t>
        </is>
      </c>
      <c r="C57" s="29" t="inlineStr">
        <is>
          <t>NSX Edge 3 Uplink 1</t>
        </is>
      </c>
      <c r="D57" s="29">
        <f>IFERROR(IF('IP Input Sheet'!D26&lt;&gt;"",'IP Input Sheet'!D26,IF('IP Input Sheet'!E26&lt;&gt;"",'IP Input Sheet'!E26,'IP Input Sheet'!F26)),"[Enter IP]")</f>
        <v/>
      </c>
      <c r="E57" s="29" t="inlineStr">
        <is>
          <t>ToR BGP Peer Rack2 VLAN2608</t>
        </is>
      </c>
      <c r="F57" s="29">
        <f>IFERROR(IF('IP Input Sheet'!D34&lt;&gt;"",'IP Input Sheet'!D34,IF('IP Input Sheet'!E34&lt;&gt;"",'IP Input Sheet'!E34,'IP Input Sheet'!F34)),"[Enter IP]")</f>
        <v/>
      </c>
      <c r="G57" s="29" t="inlineStr">
        <is>
          <t>3784</t>
        </is>
      </c>
      <c r="H57" s="29" t="inlineStr">
        <is>
          <t>UDP</t>
        </is>
      </c>
      <c r="I57" s="29" t="inlineStr">
        <is>
          <t>BFD fast failover</t>
        </is>
      </c>
      <c r="J57" s="24" t="inlineStr">
        <is>
          <t>Allow</t>
        </is>
      </c>
      <c r="K57" s="28" t="inlineStr">
        <is>
          <t>Gateway FW</t>
        </is>
      </c>
      <c r="L57" s="29" t="inlineStr">
        <is>
          <t>Bidirectional</t>
        </is>
      </c>
      <c r="M57" s="29" t="inlineStr">
        <is>
          <t>EU5→EU13</t>
        </is>
      </c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8" customHeight="1" s="46">
      <c r="A58" s="27" t="inlineStr">
        <is>
          <t>BFD-04</t>
        </is>
      </c>
      <c r="B58" s="27" t="inlineStr">
        <is>
          <t>BFD — Edge3 Uplink2 to ToR fast failover</t>
        </is>
      </c>
      <c r="C58" s="27" t="inlineStr">
        <is>
          <t>NSX Edge 3 Uplink 2</t>
        </is>
      </c>
      <c r="D58" s="27">
        <f>IFERROR(IF('IP Input Sheet'!D27&lt;&gt;"",'IP Input Sheet'!D27,IF('IP Input Sheet'!E27&lt;&gt;"",'IP Input Sheet'!E27,'IP Input Sheet'!F27)),"[Enter IP]")</f>
        <v/>
      </c>
      <c r="E58" s="27" t="inlineStr">
        <is>
          <t>ToR BGP Peer Rack2 VLAN2609</t>
        </is>
      </c>
      <c r="F58" s="27">
        <f>IFERROR(IF('IP Input Sheet'!D35&lt;&gt;"",'IP Input Sheet'!D35,IF('IP Input Sheet'!E35&lt;&gt;"",'IP Input Sheet'!E35,'IP Input Sheet'!F35)),"[Enter IP]")</f>
        <v/>
      </c>
      <c r="G58" s="27" t="inlineStr">
        <is>
          <t>3784</t>
        </is>
      </c>
      <c r="H58" s="27" t="inlineStr">
        <is>
          <t>UDP</t>
        </is>
      </c>
      <c r="I58" s="27" t="inlineStr">
        <is>
          <t>BFD fast failover</t>
        </is>
      </c>
      <c r="J58" s="24" t="inlineStr">
        <is>
          <t>Allow</t>
        </is>
      </c>
      <c r="K58" s="28" t="inlineStr">
        <is>
          <t>Gateway FW</t>
        </is>
      </c>
      <c r="L58" s="27" t="inlineStr">
        <is>
          <t>Bidirectional</t>
        </is>
      </c>
      <c r="M58" s="27" t="inlineStr">
        <is>
          <t>EU6→EU14</t>
        </is>
      </c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8" customHeight="1" s="46">
      <c r="A59" s="31" t="inlineStr">
        <is>
          <t>BFD-01b</t>
        </is>
      </c>
      <c r="B59" s="31" t="inlineStr">
        <is>
          <t>BFD Echo — Edge1 Uplink1 → ToR Rack1 VLAN2606 (3785)</t>
        </is>
      </c>
      <c r="C59" s="31" t="inlineStr">
        <is>
          <t>NSX Edge 1 Uplink 1</t>
        </is>
      </c>
      <c r="D59" s="31">
        <f>IFERROR(IF('IP Input Sheet'!D22&lt;&gt;"",'IP Input Sheet'!D22,IF('IP Input Sheet'!E22&lt;&gt;"",'IP Input Sheet'!E22,'IP Input Sheet'!F22)),"[Enter IP]")</f>
        <v/>
      </c>
      <c r="E59" s="31" t="inlineStr">
        <is>
          <t>ToR BGP Peer Rack1 VLAN2606</t>
        </is>
      </c>
      <c r="F59" s="31">
        <f>IFERROR(IF('IP Input Sheet'!D32&lt;&gt;"",'IP Input Sheet'!D32,IF('IP Input Sheet'!E32&lt;&gt;"",'IP Input Sheet'!E32,'IP Input Sheet'!F32)),"[Enter IP]")</f>
        <v/>
      </c>
      <c r="G59" s="31" t="inlineStr">
        <is>
          <t>3785</t>
        </is>
      </c>
      <c r="H59" s="31" t="inlineStr">
        <is>
          <t>UDP</t>
        </is>
      </c>
      <c r="I59" s="31" t="inlineStr">
        <is>
          <t>BFD echo mode — fast failover detection</t>
        </is>
      </c>
      <c r="J59" s="24" t="inlineStr">
        <is>
          <t>Allow</t>
        </is>
      </c>
      <c r="K59" s="31" t="inlineStr">
        <is>
          <t>Gateway FW</t>
        </is>
      </c>
      <c r="L59" s="31" t="inlineStr">
        <is>
          <t>Bidirectional</t>
        </is>
      </c>
      <c r="M59" s="31" t="inlineStr">
        <is>
          <t xml:space="preserve"> BFD echo - EU1→EU1</t>
        </is>
      </c>
      <c r="N59" s="32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8" customHeight="1" s="46">
      <c r="A60" s="31" t="inlineStr">
        <is>
          <t>BFD-02b</t>
        </is>
      </c>
      <c r="B60" s="31" t="inlineStr">
        <is>
          <t>BFD Echo — Edge1 Uplink2 → ToR Rack1 VLAN2607 (3785)</t>
        </is>
      </c>
      <c r="C60" s="31" t="inlineStr">
        <is>
          <t>NSX Edge 1 Uplink 2</t>
        </is>
      </c>
      <c r="D60" s="31">
        <f>IFERROR(IF('IP Input Sheet'!D23&lt;&gt;"",'IP Input Sheet'!D23,IF('IP Input Sheet'!E23&lt;&gt;"",'IP Input Sheet'!E23,'IP Input Sheet'!F23)),"[Enter IP]")</f>
        <v/>
      </c>
      <c r="E60" s="31" t="inlineStr">
        <is>
          <t>ToR BGP Peer Rack1 VLAN2607</t>
        </is>
      </c>
      <c r="F60" s="31">
        <f>IFERROR(IF('IP Input Sheet'!D33&lt;&gt;"",'IP Input Sheet'!D33,IF('IP Input Sheet'!E33&lt;&gt;"",'IP Input Sheet'!E33,'IP Input Sheet'!F33)),"[Enter IP]")</f>
        <v/>
      </c>
      <c r="G60" s="31" t="inlineStr">
        <is>
          <t>3785</t>
        </is>
      </c>
      <c r="H60" s="31" t="inlineStr">
        <is>
          <t>UDP</t>
        </is>
      </c>
      <c r="I60" s="31" t="inlineStr">
        <is>
          <t>BFD echo mode — fast failover detection</t>
        </is>
      </c>
      <c r="J60" s="24" t="inlineStr">
        <is>
          <t>Allow</t>
        </is>
      </c>
      <c r="K60" s="31" t="inlineStr">
        <is>
          <t>Gateway FW</t>
        </is>
      </c>
      <c r="L60" s="31" t="inlineStr">
        <is>
          <t>Bidirectional</t>
        </is>
      </c>
      <c r="M60" s="31" t="inlineStr">
        <is>
          <t xml:space="preserve"> BFD echo - EU2→EU12</t>
        </is>
      </c>
      <c r="N60" s="32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8" customHeight="1" s="46">
      <c r="A61" s="31" t="inlineStr">
        <is>
          <t>BFD-03b</t>
        </is>
      </c>
      <c r="B61" s="31" t="inlineStr">
        <is>
          <t>BFD Echo — Edge3 Uplink1 → ToR Rack2 VLAN2608 (3785)</t>
        </is>
      </c>
      <c r="C61" s="31" t="inlineStr">
        <is>
          <t>NSX Edge 3 Uplink 1</t>
        </is>
      </c>
      <c r="D61" s="31">
        <f>IFERROR(IF('IP Input Sheet'!D26&lt;&gt;"",'IP Input Sheet'!D26,IF('IP Input Sheet'!E26&lt;&gt;"",'IP Input Sheet'!E26,'IP Input Sheet'!F26)),"[Enter IP]")</f>
        <v/>
      </c>
      <c r="E61" s="31" t="inlineStr">
        <is>
          <t>ToR BGP Peer Rack2 VLAN2608</t>
        </is>
      </c>
      <c r="F61" s="31">
        <f>IFERROR(IF('IP Input Sheet'!D34&lt;&gt;"",'IP Input Sheet'!D34,IF('IP Input Sheet'!E34&lt;&gt;"",'IP Input Sheet'!E34,'IP Input Sheet'!F34)),"[Enter IP]")</f>
        <v/>
      </c>
      <c r="G61" s="31" t="inlineStr">
        <is>
          <t>3785</t>
        </is>
      </c>
      <c r="H61" s="31" t="inlineStr">
        <is>
          <t>UDP</t>
        </is>
      </c>
      <c r="I61" s="31" t="inlineStr">
        <is>
          <t>BFD echo mode — fast failover detection</t>
        </is>
      </c>
      <c r="J61" s="24" t="inlineStr">
        <is>
          <t>Allow</t>
        </is>
      </c>
      <c r="K61" s="31" t="inlineStr">
        <is>
          <t>Gateway FW</t>
        </is>
      </c>
      <c r="L61" s="31" t="inlineStr">
        <is>
          <t>Bidirectional</t>
        </is>
      </c>
      <c r="M61" s="31" t="inlineStr">
        <is>
          <t>BFD echo -EU5→EU13</t>
        </is>
      </c>
      <c r="N61" s="32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8" customHeight="1" s="46">
      <c r="A62" s="31" t="inlineStr">
        <is>
          <t>BFD-04b</t>
        </is>
      </c>
      <c r="B62" s="31" t="inlineStr">
        <is>
          <t>BFD Echo — Edge3 Uplink2 → ToR Rack2 VLAN2609 (3785)</t>
        </is>
      </c>
      <c r="C62" s="31" t="inlineStr">
        <is>
          <t>NSX Edge 3 Uplink 2</t>
        </is>
      </c>
      <c r="D62" s="31">
        <f>IFERROR(IF('IP Input Sheet'!D27&lt;&gt;"",'IP Input Sheet'!D27,IF('IP Input Sheet'!E27&lt;&gt;"",'IP Input Sheet'!E27,'IP Input Sheet'!F27)),"[Enter IP]")</f>
        <v/>
      </c>
      <c r="E62" s="31" t="inlineStr">
        <is>
          <t>ToR BGP Peer Rack2 VLAN2609</t>
        </is>
      </c>
      <c r="F62" s="31">
        <f>IFERROR(IF('IP Input Sheet'!D35&lt;&gt;"",'IP Input Sheet'!D35,IF('IP Input Sheet'!E35&lt;&gt;"",'IP Input Sheet'!E35,'IP Input Sheet'!F35)),"[Enter IP]")</f>
        <v/>
      </c>
      <c r="G62" s="31" t="inlineStr">
        <is>
          <t>3785</t>
        </is>
      </c>
      <c r="H62" s="31" t="inlineStr">
        <is>
          <t>UDP</t>
        </is>
      </c>
      <c r="I62" s="31" t="inlineStr">
        <is>
          <t>BFD echo mode — fast failover detection</t>
        </is>
      </c>
      <c r="J62" s="24" t="inlineStr">
        <is>
          <t>Allow</t>
        </is>
      </c>
      <c r="K62" s="31" t="inlineStr">
        <is>
          <t>Gateway FW</t>
        </is>
      </c>
      <c r="L62" s="31" t="inlineStr">
        <is>
          <t>Bidirectional</t>
        </is>
      </c>
      <c r="M62" s="31" t="inlineStr">
        <is>
          <t>BFD echo -  EU6→EU14</t>
        </is>
      </c>
      <c r="N62" s="32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30" customHeight="1" s="46">
      <c r="A63" s="31" t="inlineStr">
        <is>
          <t>BFD-09</t>
        </is>
      </c>
      <c r="B63" s="31" t="inlineStr">
        <is>
          <t>BFD Multi-hop — Edge → Remote Edge cross-AZ (4784)</t>
        </is>
      </c>
      <c r="C63" s="31" t="inlineStr">
        <is>
          <t>NSX Edge Nodes (local AZ — EDGE_TEP)</t>
        </is>
      </c>
      <c r="D63" s="31">
        <f>IFERROR(IF('IP Input Sheet'!D30&lt;&gt;"",'IP Input Sheet'!D30,IF('IP Input Sheet'!E30&lt;&gt;"",'IP Input Sheet'!E30,'IP Input Sheet'!F30)),"[Enter IP]")</f>
        <v/>
      </c>
      <c r="E63" s="31" t="inlineStr">
        <is>
          <t>NSX Edge Nodes (remote AZ — EDGE_TEP)</t>
        </is>
      </c>
      <c r="F63" s="31">
        <f>IFERROR(IF('IP Input Sheet'!E30&lt;&gt;"",'IP Input Sheet'!E30,IF('IP Input Sheet'!D30&lt;&gt;"",'IP Input Sheet'!D30,'IP Input Sheet'!F30)),"[Enter IP]")</f>
        <v/>
      </c>
      <c r="G63" s="31" t="inlineStr">
        <is>
          <t>4784</t>
        </is>
      </c>
      <c r="H63" s="31" t="inlineStr">
        <is>
          <t>UDP</t>
        </is>
      </c>
      <c r="I63" s="31" t="inlineStr">
        <is>
          <t>BFD multi-hop RFC 5883 — cross-AZ Inter-SR fast failover</t>
        </is>
      </c>
      <c r="J63" s="24" t="inlineStr">
        <is>
          <t>Allow</t>
        </is>
      </c>
      <c r="K63" s="31" t="inlineStr">
        <is>
          <t>Gateway FW</t>
        </is>
      </c>
      <c r="L63" s="31" t="inlineStr">
        <is>
          <t>Bidirectional</t>
        </is>
      </c>
      <c r="M63" s="31" t="inlineStr">
        <is>
          <t xml:space="preserve"> cross-AZ T0 SR failover  EU9(AZ1)↔EU9(AZ2)</t>
        </is>
      </c>
      <c r="N63" s="32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8" customHeight="1" s="46">
      <c r="A64" s="15" t="n"/>
      <c r="B64" s="15" t="n"/>
      <c r="C64" s="15" t="n"/>
      <c r="D64" s="15">
        <f>IFERROR(IF('IP Input Sheet'!D27&lt;&gt;"",'IP Input Sheet'!D27,IF('IP Input Sheet'!E27&lt;&gt;"",'IP Input Sheet'!E27,'IP Input Sheet'!F27)),"[Enter IP]")</f>
        <v/>
      </c>
      <c r="E64" s="15" t="n"/>
      <c r="F64" s="15">
        <f>IFERROR(IF('IP Input Sheet'!D35&lt;&gt;"",'IP Input Sheet'!D35,IF('IP Input Sheet'!E35&lt;&gt;"",'IP Input Sheet'!E35,'IP Input Sheet'!F35)),"[Enter IP]")</f>
        <v/>
      </c>
      <c r="G64" s="15" t="n"/>
      <c r="H64" s="15" t="n"/>
      <c r="I64" s="15" t="n"/>
      <c r="J64" s="15" t="n"/>
      <c r="K64" s="15" t="n"/>
      <c r="L64" s="15" t="n"/>
      <c r="M64" s="15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9.5" customHeight="1" s="46">
      <c r="A65" s="51" t="inlineStr">
        <is>
          <t xml:space="preserve">NSX FEDERATION INTER-SITE RULES  (GM ↔ LM)  </t>
        </is>
      </c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8" customHeight="1" s="46">
      <c r="A66" s="33" t="inlineStr">
        <is>
          <t>FED-01</t>
        </is>
      </c>
      <c r="B66" s="33" t="inlineStr">
        <is>
          <t>NSX GM → NSX LM (all AZs) — API Sync</t>
        </is>
      </c>
      <c r="C66" s="34" t="inlineStr">
        <is>
          <t>NSX Global Manager (M3)</t>
        </is>
      </c>
      <c r="D66" s="34">
        <f>IFERROR(IF('IP Input Sheet'!D15&lt;&gt;"",'IP Input Sheet'!D15,IF('IP Input Sheet'!E15&lt;&gt;"",'IP Input Sheet'!E15,'IP Input Sheet'!F15)),"[Enter IP]")</f>
        <v/>
      </c>
      <c r="E66" s="34" t="inlineStr">
        <is>
          <t>NSX Local Manager (M2 — all AZs)</t>
        </is>
      </c>
      <c r="F66" s="34">
        <f>IFERROR(IF('IP Input Sheet'!D14&lt;&gt;"",'IP Input Sheet'!D14,IF('IP Input Sheet'!E14&lt;&gt;"",'IP Input Sheet'!E14,'IP Input Sheet'!F14)),"[Enter IP]")</f>
        <v/>
      </c>
      <c r="G66" s="34" t="inlineStr">
        <is>
          <t>443</t>
        </is>
      </c>
      <c r="H66" s="34" t="inlineStr">
        <is>
          <t>TCP</t>
        </is>
      </c>
      <c r="I66" s="34" t="inlineStr">
        <is>
          <t>API &amp; Management Plane synchronisation — Federation config push</t>
        </is>
      </c>
      <c r="J66" s="24" t="inlineStr">
        <is>
          <t>Allow</t>
        </is>
      </c>
      <c r="K66" s="28" t="inlineStr">
        <is>
          <t>Gateway FW</t>
        </is>
      </c>
      <c r="L66" s="34" t="inlineStr">
        <is>
          <t>Outbound</t>
        </is>
      </c>
      <c r="M66" s="34" t="inlineStr">
        <is>
          <t>GM→LM TCP 443 must be whitelisted for Federation</t>
        </is>
      </c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8" customHeight="1" s="46">
      <c r="A67" s="33" t="inlineStr">
        <is>
          <t>FED-03</t>
        </is>
      </c>
      <c r="B67" s="33" t="inlineStr">
        <is>
          <t>NSX GM → NSX LM (all AZs) — Async Replication</t>
        </is>
      </c>
      <c r="C67" s="34" t="inlineStr">
        <is>
          <t>NSX Global Manager (M3)</t>
        </is>
      </c>
      <c r="D67" s="34">
        <f>IFERROR(IF('IP Input Sheet'!D15&lt;&gt;"",'IP Input Sheet'!D15,IF('IP Input Sheet'!E15&lt;&gt;"",'IP Input Sheet'!E15,'IP Input Sheet'!F15)),"[Enter IP]")</f>
        <v/>
      </c>
      <c r="E67" s="34" t="inlineStr">
        <is>
          <t>NSX Local Manager (M2 — all AZs)</t>
        </is>
      </c>
      <c r="F67" s="34">
        <f>IFERROR(IF('IP Input Sheet'!D14&lt;&gt;"",'IP Input Sheet'!D14,IF('IP Input Sheet'!E14&lt;&gt;"",'IP Input Sheet'!E14,'IP Input Sheet'!F14)),"[Enter IP]")</f>
        <v/>
      </c>
      <c r="G67" s="34" t="inlineStr">
        <is>
          <t>1236</t>
        </is>
      </c>
      <c r="H67" s="34" t="inlineStr">
        <is>
          <t>TCP</t>
        </is>
      </c>
      <c r="I67" s="34" t="inlineStr">
        <is>
          <t>Asynchronous Replication — core engine pushing Global config to Local Managers</t>
        </is>
      </c>
      <c r="J67" s="24" t="inlineStr">
        <is>
          <t>Allow</t>
        </is>
      </c>
      <c r="K67" s="28" t="inlineStr">
        <is>
          <t>Gateway FW</t>
        </is>
      </c>
      <c r="L67" s="34" t="inlineStr">
        <is>
          <t>Outbound</t>
        </is>
      </c>
      <c r="M67" s="34" t="inlineStr">
        <is>
          <t>TCP 1236 NEW — critical for Federation policy distribution</t>
        </is>
      </c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8" customHeight="1" s="46">
      <c r="A68" s="33" t="inlineStr">
        <is>
          <t>FED-05</t>
        </is>
      </c>
      <c r="B68" s="33" t="inlineStr">
        <is>
          <t>T0 SR Inter-Site BGP (AZ1 Edge ↔ AZ2 Edge)</t>
        </is>
      </c>
      <c r="C68" s="34" t="inlineStr">
        <is>
          <t>NSX Edge Uplinks (Active T0 SR)</t>
        </is>
      </c>
      <c r="D68" s="34">
        <f>IFERROR(IF('IP Input Sheet'!D22&lt;&gt;"",'IP Input Sheet'!D22,IF('IP Input Sheet'!E22&lt;&gt;"",'IP Input Sheet'!E22,'IP Input Sheet'!F22)),"[Enter IP]")</f>
        <v/>
      </c>
      <c r="E68" s="34" t="inlineStr">
        <is>
          <t>NSX Remote Edge (Peer AZ T0 SR)</t>
        </is>
      </c>
      <c r="F68" s="34">
        <f>IFERROR(IF('IP Input Sheet'!D26&lt;&gt;"",'IP Input Sheet'!D26,IF('IP Input Sheet'!E26&lt;&gt;"",'IP Input Sheet'!E26,'IP Input Sheet'!F26)),"[Enter IP]")</f>
        <v/>
      </c>
      <c r="G68" s="34" t="inlineStr">
        <is>
          <t>179</t>
        </is>
      </c>
      <c r="H68" s="34" t="inlineStr">
        <is>
          <t>TCP</t>
        </is>
      </c>
      <c r="I68" s="34" t="inlineStr">
        <is>
          <t>Inter-SR BGP — Service Router routing updates across AZs for Federation</t>
        </is>
      </c>
      <c r="J68" s="24" t="inlineStr">
        <is>
          <t>Allow</t>
        </is>
      </c>
      <c r="K68" s="28" t="inlineStr">
        <is>
          <t>Gateway FW</t>
        </is>
      </c>
      <c r="L68" s="34" t="inlineStr">
        <is>
          <t>Bidirectional</t>
        </is>
      </c>
      <c r="M68" s="34" t="inlineStr">
        <is>
          <t xml:space="preserve"> inter-SR BGP distinct from Edge→ToR BGP (BGP-01 to BGP-08)</t>
        </is>
      </c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8" customHeight="1" s="46">
      <c r="A69" s="27" t="inlineStr">
        <is>
          <t>FED-03</t>
        </is>
      </c>
      <c r="B69" s="35" t="inlineStr">
        <is>
          <t xml:space="preserve">NSX GM → LM  TCP 1236  </t>
        </is>
      </c>
      <c r="C69" s="27" t="inlineStr">
        <is>
          <t>NSX Global Manager (M3)</t>
        </is>
      </c>
      <c r="D69" s="27">
        <f>IFERROR(IF('IP Input Sheet'!D15&lt;&gt;"",'IP Input Sheet'!D15,IF('IP Input Sheet'!E15&lt;&gt;"",'IP Input Sheet'!E15,'IP Input Sheet'!F15)),"[Enter IP]")</f>
        <v/>
      </c>
      <c r="E69" s="27" t="inlineStr">
        <is>
          <t>NSX Local Manager (M2)</t>
        </is>
      </c>
      <c r="F69" s="27">
        <f>IFERROR(IF('IP Input Sheet'!D14&lt;&gt;"",'IP Input Sheet'!D14,IF('IP Input Sheet'!E14&lt;&gt;"",'IP Input Sheet'!E14,'IP Input Sheet'!F14)),"[Enter IP]")</f>
        <v/>
      </c>
      <c r="G69" s="27" t="inlineStr">
        <is>
          <t>1236</t>
        </is>
      </c>
      <c r="H69" s="27" t="inlineStr">
        <is>
          <t>TCP</t>
        </is>
      </c>
      <c r="I69" s="27" t="inlineStr">
        <is>
          <t>NSX Federation Async Replication — GM pushes Global config to all Local Managers</t>
        </is>
      </c>
      <c r="J69" s="24" t="inlineStr">
        <is>
          <t>Allow</t>
        </is>
      </c>
      <c r="K69" s="28" t="inlineStr">
        <is>
          <t>Gateway FW</t>
        </is>
      </c>
      <c r="L69" s="27" t="inlineStr">
        <is>
          <t>Bidirectional</t>
        </is>
      </c>
      <c r="M69" s="27" t="inlineStr">
        <is>
          <t xml:space="preserve"> — was MISSING, federation sync broken without this.</t>
        </is>
      </c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8" customHeight="1" s="46">
      <c r="A70" s="29" t="inlineStr">
        <is>
          <t>FED-05</t>
        </is>
      </c>
      <c r="B70" s="29" t="inlineStr">
        <is>
          <t>NSX Edge → Remote Edge  TCP 179 Inter-SR BGP</t>
        </is>
      </c>
      <c r="C70" s="29" t="inlineStr">
        <is>
          <t>NSX Edge Node (local)</t>
        </is>
      </c>
      <c r="D70" s="29">
        <f>IFERROR(IF('IP Input Sheet'!D22&lt;&gt;"",'IP Input Sheet'!D22,IF('IP Input Sheet'!E22&lt;&gt;"",'IP Input Sheet'!E22,'IP Input Sheet'!F22)),"[Enter IP]")</f>
        <v/>
      </c>
      <c r="E70" s="29" t="inlineStr">
        <is>
          <t>NSX Remote Edge Node</t>
        </is>
      </c>
      <c r="F70" s="29">
        <f>IFERROR(IF('IP Input Sheet'!D26&lt;&gt;"",'IP Input Sheet'!D26,IF('IP Input Sheet'!E26&lt;&gt;"",'IP Input Sheet'!E26,'IP Input Sheet'!F26)),"[Enter IP]")</f>
        <v/>
      </c>
      <c r="G70" s="29" t="inlineStr">
        <is>
          <t>179</t>
        </is>
      </c>
      <c r="H70" s="29" t="inlineStr">
        <is>
          <t>TCP</t>
        </is>
      </c>
      <c r="I70" s="29" t="inlineStr">
        <is>
          <t>Inter-SR BGP cross-AZ routing updates between Service Routers</t>
        </is>
      </c>
      <c r="J70" s="24" t="inlineStr">
        <is>
          <t>Allow</t>
        </is>
      </c>
      <c r="K70" s="28" t="inlineStr">
        <is>
          <t>Gateway FW</t>
        </is>
      </c>
      <c r="L70" s="29" t="inlineStr">
        <is>
          <t>Bidirectional</t>
        </is>
      </c>
      <c r="M70" s="29" t="inlineStr">
        <is>
          <t>Inter-site BGP — distinct from Edge→ToR BGP (BGP-01 to BGP-08).</t>
        </is>
      </c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30" customHeight="1" s="46">
      <c r="A71" s="36" t="inlineStr">
        <is>
          <t>FED-07</t>
        </is>
      </c>
      <c r="B71" s="36" t="inlineStr">
        <is>
          <t>NSX GM Cluster — GM Node ↔ GM peer (TCP 15026)</t>
        </is>
      </c>
      <c r="C71" s="31" t="inlineStr">
        <is>
          <t>NSX Global Manager Node</t>
        </is>
      </c>
      <c r="D71" s="31">
        <f>IFERROR(IF('IP Input Sheet'!D15&lt;&gt;"",'IP Input Sheet'!D15,IF('IP Input Sheet'!E15&lt;&gt;"",'IP Input Sheet'!E15,'IP Input Sheet'!F15)),"[Enter IP]")</f>
        <v/>
      </c>
      <c r="E71" s="31" t="inlineStr">
        <is>
          <t>NSX Global Manager Node (peer)</t>
        </is>
      </c>
      <c r="F71" s="31">
        <f>IFERROR(IF('IP Input Sheet'!D15&lt;&gt;"",'IP Input Sheet'!D15,IF('IP Input Sheet'!E15&lt;&gt;"",'IP Input Sheet'!E15,'IP Input Sheet'!F15)),"[Enter IP]")</f>
        <v/>
      </c>
      <c r="G71" s="31" t="inlineStr">
        <is>
          <t>15026</t>
        </is>
      </c>
      <c r="H71" s="31" t="inlineStr">
        <is>
          <t>TCP</t>
        </is>
      </c>
      <c r="I71" s="31" t="inlineStr">
        <is>
          <t>NSX GM cluster comms — quorum + config sync</t>
        </is>
      </c>
      <c r="J71" s="24" t="inlineStr">
        <is>
          <t>Allow</t>
        </is>
      </c>
      <c r="K71" s="31" t="inlineStr">
        <is>
          <t>Gateway FW</t>
        </is>
      </c>
      <c r="L71" s="31" t="inlineStr">
        <is>
          <t>Bidirectional</t>
        </is>
      </c>
      <c r="M71" s="31" t="inlineStr">
        <is>
          <t xml:space="preserve"> GM cluster comm  M3↔M3</t>
        </is>
      </c>
      <c r="N71" s="32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46">
      <c r="A72" s="27" t="inlineStr">
        <is>
          <t>VAMI-01</t>
        </is>
      </c>
      <c r="B72" s="35" t="inlineStr">
        <is>
          <t>Fleet Mgr → vCenter VAMI (5480)</t>
        </is>
      </c>
      <c r="C72" s="27" t="inlineStr">
        <is>
          <t>VCF Operations Fleet Manager</t>
        </is>
      </c>
      <c r="D72" s="27">
        <f>IFERROR(IF('IP Input Sheet'!D5&lt;&gt;"",'IP Input Sheet'!D5,IF('IP Input Sheet'!E5&lt;&gt;"",'IP Input Sheet'!E5,'IP Input Sheet'!F5)),"[Enter IP]")</f>
        <v/>
      </c>
      <c r="E72" s="27" t="inlineStr">
        <is>
          <t>vCenter Server (VAMI)</t>
        </is>
      </c>
      <c r="F72" s="27">
        <f>IFERROR(IF('IP Input Sheet'!D13&lt;&gt;"",'IP Input Sheet'!D13,IF('IP Input Sheet'!E13&lt;&gt;"",'IP Input Sheet'!E13,'IP Input Sheet'!F13)),"[Enter IP]")</f>
        <v/>
      </c>
      <c r="G72" s="27" t="inlineStr">
        <is>
          <t>5480</t>
        </is>
      </c>
      <c r="H72" s="27" t="inlineStr">
        <is>
          <t>TCP</t>
        </is>
      </c>
      <c r="I72" s="27" t="inlineStr">
        <is>
          <t>VAMI — Virtual Appliance Mgmt Interface — lifecycle/config/health</t>
        </is>
      </c>
      <c r="J72" s="24" t="inlineStr">
        <is>
          <t>Allow</t>
        </is>
      </c>
      <c r="K72" s="28" t="inlineStr">
        <is>
          <t>Gateway FW</t>
        </is>
      </c>
      <c r="L72" s="27" t="inlineStr">
        <is>
          <t>Outbound</t>
        </is>
      </c>
      <c r="M72" s="27" t="inlineStr">
        <is>
          <t>Port note: Port 5480 VAMI. vlsr1 IP 192.168.188.1. Required for Fleet Mgr lifecycle ops on all VCF appliances.</t>
        </is>
      </c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46">
      <c r="A73" s="29" t="inlineStr">
        <is>
          <t>VAMI-02</t>
        </is>
      </c>
      <c r="B73" s="35" t="inlineStr">
        <is>
          <t>Fleet Mgr → SDDC Manager VAMI (5480)</t>
        </is>
      </c>
      <c r="C73" s="29" t="inlineStr">
        <is>
          <t>VCF Operations Fleet Manager</t>
        </is>
      </c>
      <c r="D73" s="29">
        <f>IFERROR(IF('IP Input Sheet'!D5&lt;&gt;"",'IP Input Sheet'!D5,IF('IP Input Sheet'!E5&lt;&gt;"",'IP Input Sheet'!E5,'IP Input Sheet'!F5)),"[Enter IP]")</f>
        <v/>
      </c>
      <c r="E73" s="29" t="inlineStr">
        <is>
          <t>SDDC Manager (VAMI)</t>
        </is>
      </c>
      <c r="F73" s="29">
        <f>IFERROR(IF('IP Input Sheet'!D16&lt;&gt;"",'IP Input Sheet'!D16,IF('IP Input Sheet'!E16&lt;&gt;"",'IP Input Sheet'!E16,'IP Input Sheet'!F16)),"[Enter IP]")</f>
        <v/>
      </c>
      <c r="G73" s="29" t="inlineStr">
        <is>
          <t>5480</t>
        </is>
      </c>
      <c r="H73" s="29" t="inlineStr">
        <is>
          <t>TCP</t>
        </is>
      </c>
      <c r="I73" s="29" t="inlineStr">
        <is>
          <t>SDDC Manager VAMI — lifecycle and config management</t>
        </is>
      </c>
      <c r="J73" s="24" t="inlineStr">
        <is>
          <t>Allow</t>
        </is>
      </c>
      <c r="K73" s="28" t="inlineStr">
        <is>
          <t>Gateway FW</t>
        </is>
      </c>
      <c r="L73" s="29" t="inlineStr">
        <is>
          <t>Outbound</t>
        </is>
      </c>
      <c r="M73" s="29" t="inlineStr">
        <is>
          <t>Port note: Port 5480 — SDDC Manager appliance VAMI interface</t>
        </is>
      </c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46">
      <c r="A74" s="27" t="inlineStr">
        <is>
          <t>VAMI-03</t>
        </is>
      </c>
      <c r="B74" s="35" t="inlineStr">
        <is>
          <t>Fleet Mgr → NSX Manager VAMI (5480)</t>
        </is>
      </c>
      <c r="C74" s="27" t="inlineStr">
        <is>
          <t>VCF Operations Fleet Manager</t>
        </is>
      </c>
      <c r="D74" s="27">
        <f>IFERROR(IF('IP Input Sheet'!D5&lt;&gt;"",'IP Input Sheet'!D5,IF('IP Input Sheet'!E5&lt;&gt;"",'IP Input Sheet'!E5,'IP Input Sheet'!F5)),"[Enter IP]")</f>
        <v/>
      </c>
      <c r="E74" s="27" t="inlineStr">
        <is>
          <t>NSX Manager (VAMI)</t>
        </is>
      </c>
      <c r="F74" s="27">
        <f>IFERROR(IF('IP Input Sheet'!D14&lt;&gt;"",'IP Input Sheet'!D14,IF('IP Input Sheet'!E14&lt;&gt;"",'IP Input Sheet'!E14,'IP Input Sheet'!F14)),"[Enter IP]")</f>
        <v/>
      </c>
      <c r="G74" s="27" t="inlineStr">
        <is>
          <t>5480</t>
        </is>
      </c>
      <c r="H74" s="27" t="inlineStr">
        <is>
          <t>TCP</t>
        </is>
      </c>
      <c r="I74" s="27" t="inlineStr">
        <is>
          <t>NSX Manager VAMI — appliance lifecycle management</t>
        </is>
      </c>
      <c r="J74" s="24" t="inlineStr">
        <is>
          <t>Allow</t>
        </is>
      </c>
      <c r="K74" s="28" t="inlineStr">
        <is>
          <t>Gateway FW</t>
        </is>
      </c>
      <c r="L74" s="27" t="inlineStr">
        <is>
          <t>Outbound</t>
        </is>
      </c>
      <c r="M74" s="27" t="inlineStr">
        <is>
          <t>Port note: Port 5480 — NSX Manager appliance VAMI</t>
        </is>
      </c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46">
      <c r="A75" s="29" t="inlineStr">
        <is>
          <t>VAMI-04</t>
        </is>
      </c>
      <c r="B75" s="35" t="inlineStr">
        <is>
          <t>VCFA → All VCF Appliances VAMI (5480)</t>
        </is>
      </c>
      <c r="C75" s="29" t="inlineStr">
        <is>
          <t>VCF Automation (VCFA)</t>
        </is>
      </c>
      <c r="D75" s="29">
        <f>IFERROR(IF('IP Input Sheet'!D7&lt;&gt;"",'IP Input Sheet'!D7,IF('IP Input Sheet'!E7&lt;&gt;"",'IP Input Sheet'!E7,'IP Input Sheet'!F7)),"[Enter IP]")</f>
        <v/>
      </c>
      <c r="E75" s="29" t="inlineStr">
        <is>
          <t>vCenter / NSX / SDDC (VAMI)</t>
        </is>
      </c>
      <c r="F75" s="29">
        <f>IFERROR(IF('IP Input Sheet'!D13&lt;&gt;"",'IP Input Sheet'!D13,IF('IP Input Sheet'!E13&lt;&gt;"",'IP Input Sheet'!E13,'IP Input Sheet'!F13)),"[Enter IP]")</f>
        <v/>
      </c>
      <c r="G75" s="29" t="inlineStr">
        <is>
          <t>5480</t>
        </is>
      </c>
      <c r="H75" s="29" t="inlineStr">
        <is>
          <t>TCP</t>
        </is>
      </c>
      <c r="I75" s="29" t="inlineStr">
        <is>
          <t>VCFA automation engine — drives appliance lifecycle via VAMI</t>
        </is>
      </c>
      <c r="J75" s="24" t="inlineStr">
        <is>
          <t>Allow</t>
        </is>
      </c>
      <c r="K75" s="28" t="inlineStr">
        <is>
          <t>Gateway FW</t>
        </is>
      </c>
      <c r="L75" s="29" t="inlineStr">
        <is>
          <t>Outbound</t>
        </is>
      </c>
      <c r="M75" s="29" t="inlineStr">
        <is>
          <t>Port note: Port 5480 — VCFA lifecycle automation needs VAMI on all managed appliances</t>
        </is>
      </c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46">
      <c r="A76" s="27" t="inlineStr">
        <is>
          <t>SRM-01</t>
        </is>
      </c>
      <c r="B76" s="35" t="inlineStr">
        <is>
          <t>vSphere Replication → vCenter SRM Listener (9086)</t>
        </is>
      </c>
      <c r="C76" s="27" t="inlineStr">
        <is>
          <t>vSphere Replication Appliance (M8)</t>
        </is>
      </c>
      <c r="D76" s="27">
        <f>IFERROR(IF('IP Input Sheet'!D20&lt;&gt;"",'IP Input Sheet'!D20,IF('IP Input Sheet'!E20&lt;&gt;"",'IP Input Sheet'!E20,'IP Input Sheet'!F20)),"[Enter IP]")</f>
        <v/>
      </c>
      <c r="E76" s="27" t="inlineStr">
        <is>
          <t>vCenter / SRM (sfoMGMT-1-1-VC1)</t>
        </is>
      </c>
      <c r="F76" s="27">
        <f>IFERROR(IF('IP Input Sheet'!D13&lt;&gt;"",'IP Input Sheet'!D13,IF('IP Input Sheet'!E13&lt;&gt;"",'IP Input Sheet'!E13,'IP Input Sheet'!F13)),"[Enter IP]")</f>
        <v/>
      </c>
      <c r="G76" s="27" t="inlineStr">
        <is>
          <t>9086</t>
        </is>
      </c>
      <c r="H76" s="27" t="inlineStr">
        <is>
          <t>TCP</t>
        </is>
      </c>
      <c r="I76" s="27" t="inlineStr">
        <is>
          <t>SRM listener — replication traffic + PSC/SSO registration. Local host 192.168.188.1</t>
        </is>
      </c>
      <c r="J76" s="24" t="inlineStr">
        <is>
          <t>Allow</t>
        </is>
      </c>
      <c r="K76" s="28" t="inlineStr">
        <is>
          <t>Gateway FW</t>
        </is>
      </c>
      <c r="L76" s="27" t="inlineStr">
        <is>
          <t>Bidirectional</t>
        </is>
      </c>
      <c r="M76" s="27" t="inlineStr">
        <is>
          <t>Port note: Port 9086 SRM listener. sfoMGMT-1-1-VC1.test.net. Local 192.168.188.1. Verify with network team before whitelist.</t>
        </is>
      </c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46">
      <c r="A77" s="29" t="inlineStr">
        <is>
          <t>SRM-02</t>
        </is>
      </c>
      <c r="B77" s="35" t="inlineStr">
        <is>
          <t>Remote Site → SRM Listener (9086 inbound)</t>
        </is>
      </c>
      <c r="C77" s="29" t="inlineStr">
        <is>
          <t>Remote Site vSphere Replication</t>
        </is>
      </c>
      <c r="D77" s="29" t="inlineStr">
        <is>
          <t>[Remote Site IP]</t>
        </is>
      </c>
      <c r="E77" s="29" t="inlineStr">
        <is>
          <t>SRM Local Listener (M8 — 192.168.188.1)</t>
        </is>
      </c>
      <c r="F77" s="29">
        <f>IFERROR(IF('IP Input Sheet'!D20&lt;&gt;"",'IP Input Sheet'!D20,IF('IP Input Sheet'!E20&lt;&gt;"",'IP Input Sheet'!E20,'IP Input Sheet'!F20)),"[Enter IP]")</f>
        <v/>
      </c>
      <c r="G77" s="29" t="inlineStr">
        <is>
          <t>9086</t>
        </is>
      </c>
      <c r="H77" s="29" t="inlineStr">
        <is>
          <t>TCP</t>
        </is>
      </c>
      <c r="I77" s="29" t="inlineStr">
        <is>
          <t>SRM cross-site replication — remote site connects to local SRM listener</t>
        </is>
      </c>
      <c r="J77" s="24" t="inlineStr">
        <is>
          <t>Allow</t>
        </is>
      </c>
      <c r="K77" s="28" t="inlineStr">
        <is>
          <t>Gateway FW</t>
        </is>
      </c>
      <c r="L77" s="29" t="inlineStr">
        <is>
          <t>Inbound</t>
        </is>
      </c>
      <c r="M77" s="29" t="inlineStr">
        <is>
          <t>Port note: Port 9086 inbound from remote replication site. Required for paired-site failover.</t>
        </is>
      </c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46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46">
      <c r="A79" s="13" t="n"/>
      <c r="B79" s="13" t="inlineStr">
        <is>
          <t>🔷  VMware Live Recovery (VLR) / Site Protection &amp; DR Rules</t>
        </is>
      </c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46">
      <c r="A80" s="23" t="inlineStr">
        <is>
          <t>LVR-01</t>
        </is>
      </c>
      <c r="B80" s="23" t="inlineStr">
        <is>
          <t>VLR → vCenter (HTTPS/SSO Registration)</t>
        </is>
      </c>
      <c r="C80" s="23" t="inlineStr">
        <is>
          <t>VMware Live Recovery (VLR)</t>
        </is>
      </c>
      <c r="D80" s="23">
        <f>IFERROR(IF('IP Input Sheet'!D20&lt;&gt;"",'IP Input Sheet'!D20,IF('IP Input Sheet'!E20&lt;&gt;"",'IP Input Sheet'!E20,'IP Input Sheet'!F20)),"[Enter IP]")</f>
        <v/>
      </c>
      <c r="E80" s="23" t="inlineStr">
        <is>
          <t>vCenter Server</t>
        </is>
      </c>
      <c r="F80" s="23">
        <f>IFERROR(IF('IP Input Sheet'!D13&lt;&gt;"",'IP Input Sheet'!D13,IF('IP Input Sheet'!E13&lt;&gt;"",'IP Input Sheet'!E13,'IP Input Sheet'!F13)),"[Enter IP]")</f>
        <v/>
      </c>
      <c r="G80" s="23" t="inlineStr">
        <is>
          <t>443</t>
        </is>
      </c>
      <c r="H80" s="23" t="inlineStr">
        <is>
          <t>TCP</t>
        </is>
      </c>
      <c r="I80" s="23" t="inlineStr">
        <is>
          <t>SSO registration + API</t>
        </is>
      </c>
      <c r="J80" s="24" t="inlineStr">
        <is>
          <t>Allow</t>
        </is>
      </c>
      <c r="K80" s="25" t="inlineStr">
        <is>
          <t>Gateway FW</t>
        </is>
      </c>
      <c r="L80" s="23" t="inlineStr">
        <is>
          <t>Outbound</t>
        </is>
      </c>
      <c r="M80" s="23" t="inlineStr">
        <is>
          <t>CF row 119/148 — VLR registers with vCenter SSO + certificate replacement</t>
        </is>
      </c>
      <c r="N80" s="27" t="inlineStr">
        <is>
          <t>CF row 119 — VLR registers with vCenter SSO at :5480 and :443</t>
        </is>
      </c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46">
      <c r="A81" s="23" t="inlineStr">
        <is>
          <t>LVR-02</t>
        </is>
      </c>
      <c r="B81" s="23" t="inlineStr">
        <is>
          <t>VLR → vCenter VAMI (5480)</t>
        </is>
      </c>
      <c r="C81" s="23" t="inlineStr">
        <is>
          <t>VMware Live Recovery (VLR)</t>
        </is>
      </c>
      <c r="D81" s="23">
        <f>IFERROR(IF('IP Input Sheet'!D20&lt;&gt;"",'IP Input Sheet'!D20,IF('IP Input Sheet'!E20&lt;&gt;"",'IP Input Sheet'!E20,'IP Input Sheet'!F20)),"[Enter IP]")</f>
        <v/>
      </c>
      <c r="E81" s="23" t="inlineStr">
        <is>
          <t>vCenter Server (VAMI)</t>
        </is>
      </c>
      <c r="F81" s="23">
        <f>IFERROR(IF('IP Input Sheet'!D13&lt;&gt;"",'IP Input Sheet'!D13,IF('IP Input Sheet'!E13&lt;&gt;"",'IP Input Sheet'!E13,'IP Input Sheet'!F13)),"[Enter IP]")</f>
        <v/>
      </c>
      <c r="G81" s="23" t="inlineStr">
        <is>
          <t>5480</t>
        </is>
      </c>
      <c r="H81" s="23" t="inlineStr">
        <is>
          <t>TCP</t>
        </is>
      </c>
      <c r="I81" s="23" t="inlineStr">
        <is>
          <t>VAMI appliance management</t>
        </is>
      </c>
      <c r="J81" s="24" t="inlineStr">
        <is>
          <t>Allow</t>
        </is>
      </c>
      <c r="K81" s="25" t="inlineStr">
        <is>
          <t>Gateway FW</t>
        </is>
      </c>
      <c r="L81" s="23" t="inlineStr">
        <is>
          <t>Outbound</t>
        </is>
      </c>
      <c r="M81" s="23" t="inlineStr">
        <is>
          <t>CF row 119 — VLR VAMI at :5480 for certificate + initial config</t>
        </is>
      </c>
      <c r="N81" s="27" t="inlineStr">
        <is>
          <t>CF row 119 — VLR VAMI management interface</t>
        </is>
      </c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46">
      <c r="A82" s="23" t="inlineStr">
        <is>
          <t>LVR-03</t>
        </is>
      </c>
      <c r="B82" s="23" t="inlineStr">
        <is>
          <t>VLR → ESXi Heartbeat (902)</t>
        </is>
      </c>
      <c r="C82" s="23" t="inlineStr">
        <is>
          <t>VMware Live Recovery (VLR)</t>
        </is>
      </c>
      <c r="D82" s="23">
        <f>IFERROR(IF('IP Input Sheet'!D20&lt;&gt;"",'IP Input Sheet'!D20,IF('IP Input Sheet'!E20&lt;&gt;"",'IP Input Sheet'!E20,'IP Input Sheet'!F20)),"[Enter IP]")</f>
        <v/>
      </c>
      <c r="E82" s="23" t="inlineStr">
        <is>
          <t>ESXi Hosts (Mgmt Domain)</t>
        </is>
      </c>
      <c r="F82" s="23">
        <f>IFERROR(IF('IP Input Sheet'!D18&lt;&gt;"",'IP Input Sheet'!D18,IF('IP Input Sheet'!E18&lt;&gt;"",'IP Input Sheet'!E18,'IP Input Sheet'!F18)),"[Enter IP]")</f>
        <v/>
      </c>
      <c r="G82" s="23" t="inlineStr">
        <is>
          <t>902</t>
        </is>
      </c>
      <c r="H82" s="23" t="inlineStr">
        <is>
          <t>TCP/UDP</t>
        </is>
      </c>
      <c r="I82" s="23" t="inlineStr">
        <is>
          <t>Heartbeat / VMRC</t>
        </is>
      </c>
      <c r="J82" s="24" t="inlineStr">
        <is>
          <t>Allow</t>
        </is>
      </c>
      <c r="K82" s="25" t="inlineStr">
        <is>
          <t>Gateway FW</t>
        </is>
      </c>
      <c r="L82" s="23" t="inlineStr">
        <is>
          <t>Bidirectional</t>
        </is>
      </c>
      <c r="M82" s="23" t="inlineStr">
        <is>
          <t>CF row 165 — vSphere Replication VMkernel heartbeat to ESXi hosts</t>
        </is>
      </c>
      <c r="N82" s="27" t="inlineStr">
        <is>
          <t>CF row 165-175 — vSphere Replication VMkernel NFC traffic to ESXi hosts</t>
        </is>
      </c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46">
      <c r="A83" s="23" t="inlineStr">
        <is>
          <t>LVR-04</t>
        </is>
      </c>
      <c r="B83" s="23" t="inlineStr">
        <is>
          <t>VLR ↔ ESXi vSphere Replication NFC (8043)</t>
        </is>
      </c>
      <c r="C83" s="23" t="inlineStr">
        <is>
          <t>VMware Live Recovery (VLR)</t>
        </is>
      </c>
      <c r="D83" s="23">
        <f>IFERROR(IF('IP Input Sheet'!D20&lt;&gt;"",'IP Input Sheet'!D20,IF('IP Input Sheet'!E20&lt;&gt;"",'IP Input Sheet'!E20,'IP Input Sheet'!F20)),"[Enter IP]")</f>
        <v/>
      </c>
      <c r="E83" s="23" t="inlineStr">
        <is>
          <t>ESXi Hosts (Mgmt Domain)</t>
        </is>
      </c>
      <c r="F83" s="23">
        <f>IFERROR(IF('IP Input Sheet'!D18&lt;&gt;"",'IP Input Sheet'!D18,IF('IP Input Sheet'!E18&lt;&gt;"",'IP Input Sheet'!E18,'IP Input Sheet'!F18)),"[Enter IP]")</f>
        <v/>
      </c>
      <c r="G83" s="23" t="inlineStr">
        <is>
          <t>8043</t>
        </is>
      </c>
      <c r="H83" s="23" t="inlineStr">
        <is>
          <t>TCP</t>
        </is>
      </c>
      <c r="I83" s="23" t="inlineStr">
        <is>
          <t>vSphere Replication NFC</t>
        </is>
      </c>
      <c r="J83" s="24" t="inlineStr">
        <is>
          <t>Allow</t>
        </is>
      </c>
      <c r="K83" s="25" t="inlineStr">
        <is>
          <t>Gateway FW</t>
        </is>
      </c>
      <c r="L83" s="23" t="inlineStr">
        <is>
          <t>Bidirectional</t>
        </is>
      </c>
      <c r="M83" s="23" t="inlineStr">
        <is>
          <t>CF row 165-175 — vSphere Replication VMkernel NFC traffic to ESXi hosts</t>
        </is>
      </c>
      <c r="N83" s="27" t="inlineStr">
        <is>
          <t>CF row 165-175 — vSphere Replication changed data block transfer</t>
        </is>
      </c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46">
      <c r="A84" s="23" t="inlineStr">
        <is>
          <t>LVR-05</t>
        </is>
      </c>
      <c r="B84" s="23" t="inlineStr">
        <is>
          <t>VLR ↔ ESXi vSphere Replication NFC (31031)</t>
        </is>
      </c>
      <c r="C84" s="23" t="inlineStr">
        <is>
          <t>VMware Live Recovery (VLR)</t>
        </is>
      </c>
      <c r="D84" s="23">
        <f>IFERROR(IF('IP Input Sheet'!D20&lt;&gt;"",'IP Input Sheet'!D20,IF('IP Input Sheet'!E20&lt;&gt;"",'IP Input Sheet'!E20,'IP Input Sheet'!F20)),"[Enter IP]")</f>
        <v/>
      </c>
      <c r="E84" s="23" t="inlineStr">
        <is>
          <t>ESXi Hosts (Mgmt Domain)</t>
        </is>
      </c>
      <c r="F84" s="23">
        <f>IFERROR(IF('IP Input Sheet'!D18&lt;&gt;"",'IP Input Sheet'!D18,IF('IP Input Sheet'!E18&lt;&gt;"",'IP Input Sheet'!E18,'IP Input Sheet'!F18)),"[Enter IP]")</f>
        <v/>
      </c>
      <c r="G84" s="23" t="inlineStr">
        <is>
          <t>31031</t>
        </is>
      </c>
      <c r="H84" s="23" t="inlineStr">
        <is>
          <t>TCP</t>
        </is>
      </c>
      <c r="I84" s="23" t="inlineStr">
        <is>
          <t>vSphere Replication NFC changed blocks</t>
        </is>
      </c>
      <c r="J84" s="24" t="inlineStr">
        <is>
          <t>Allow</t>
        </is>
      </c>
      <c r="K84" s="25" t="inlineStr">
        <is>
          <t>Gateway FW</t>
        </is>
      </c>
      <c r="L84" s="23" t="inlineStr">
        <is>
          <t>Bidirectional</t>
        </is>
      </c>
      <c r="M84" s="23" t="inlineStr">
        <is>
          <t>CF row 165-175 — vSphere Replication changed data block transfer</t>
        </is>
      </c>
      <c r="N84" s="27" t="inlineStr">
        <is>
          <t>CF row 165-175 — vSphere Replication NFC alternate port</t>
        </is>
      </c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46">
      <c r="A85" s="23" t="inlineStr">
        <is>
          <t>LVR-06</t>
        </is>
      </c>
      <c r="B85" s="23" t="inlineStr">
        <is>
          <t>VLR ↔ ESXi vSphere Replication NFC (44046)</t>
        </is>
      </c>
      <c r="C85" s="23" t="inlineStr">
        <is>
          <t>VMware Live Recovery (VLR)</t>
        </is>
      </c>
      <c r="D85" s="23">
        <f>IFERROR(IF('IP Input Sheet'!D20&lt;&gt;"",'IP Input Sheet'!D20,IF('IP Input Sheet'!E20&lt;&gt;"",'IP Input Sheet'!E20,'IP Input Sheet'!F20)),"[Enter IP]")</f>
        <v/>
      </c>
      <c r="E85" s="23" t="inlineStr">
        <is>
          <t>ESXi Hosts (Mgmt Domain)</t>
        </is>
      </c>
      <c r="F85" s="23">
        <f>IFERROR(IF('IP Input Sheet'!D18&lt;&gt;"",'IP Input Sheet'!D18,IF('IP Input Sheet'!E18&lt;&gt;"",'IP Input Sheet'!E18,'IP Input Sheet'!F18)),"[Enter IP]")</f>
        <v/>
      </c>
      <c r="G85" s="23" t="inlineStr">
        <is>
          <t>44046</t>
        </is>
      </c>
      <c r="H85" s="23" t="inlineStr">
        <is>
          <t>TCP</t>
        </is>
      </c>
      <c r="I85" s="23" t="inlineStr">
        <is>
          <t>vSphere Replication NFC alternate</t>
        </is>
      </c>
      <c r="J85" s="24" t="inlineStr">
        <is>
          <t>Allow</t>
        </is>
      </c>
      <c r="K85" s="25" t="inlineStr">
        <is>
          <t>Gateway FW</t>
        </is>
      </c>
      <c r="L85" s="23" t="inlineStr">
        <is>
          <t>Bidirectional</t>
        </is>
      </c>
      <c r="M85" s="23" t="inlineStr">
        <is>
          <t>CF row 165-175 — Alternate NFC port for vSphere Replication</t>
        </is>
      </c>
      <c r="N85" s="27" t="inlineStr">
        <is>
          <t>CF row 112 — Domain Name Servers required for LVR</t>
        </is>
      </c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46">
      <c r="A86" s="23" t="inlineStr">
        <is>
          <t>LVR-07</t>
        </is>
      </c>
      <c r="B86" s="23" t="inlineStr">
        <is>
          <t>VLR → DNS</t>
        </is>
      </c>
      <c r="C86" s="23" t="inlineStr">
        <is>
          <t>VMware Live Recovery (VLR)</t>
        </is>
      </c>
      <c r="D86" s="23">
        <f>IFERROR(IF('IP Input Sheet'!D20&lt;&gt;"",'IP Input Sheet'!D20,IF('IP Input Sheet'!E20&lt;&gt;"",'IP Input Sheet'!E20,'IP Input Sheet'!F20)),"[Enter IP]")</f>
        <v/>
      </c>
      <c r="E86" s="23" t="inlineStr">
        <is>
          <t>DNS Server</t>
        </is>
      </c>
      <c r="F86" s="23">
        <f>'IP Input Sheet'!D60</f>
        <v/>
      </c>
      <c r="G86" s="23" t="inlineStr">
        <is>
          <t>53</t>
        </is>
      </c>
      <c r="H86" s="23" t="inlineStr">
        <is>
          <t>TCP/UDP</t>
        </is>
      </c>
      <c r="I86" s="23" t="inlineStr">
        <is>
          <t>Name resolution</t>
        </is>
      </c>
      <c r="J86" s="24" t="inlineStr">
        <is>
          <t>Allow</t>
        </is>
      </c>
      <c r="K86" s="25" t="inlineStr">
        <is>
          <t>Gateway FW</t>
        </is>
      </c>
      <c r="L86" s="23" t="inlineStr">
        <is>
          <t>Outbound</t>
        </is>
      </c>
      <c r="M86" s="23" t="inlineStr">
        <is>
          <t>CF row 112 — Domain Name Servers required for VLR appliance</t>
        </is>
      </c>
      <c r="N86" s="27" t="inlineStr">
        <is>
          <t>CF row 108 — NTP Servers required for LVR</t>
        </is>
      </c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46">
      <c r="A87" s="23" t="inlineStr">
        <is>
          <t>LVR-08</t>
        </is>
      </c>
      <c r="B87" s="23" t="inlineStr">
        <is>
          <t>VLR → NTP</t>
        </is>
      </c>
      <c r="C87" s="23" t="inlineStr">
        <is>
          <t>VMware Live Recovery (VLR)</t>
        </is>
      </c>
      <c r="D87" s="23">
        <f>IFERROR(IF('IP Input Sheet'!D20&lt;&gt;"",'IP Input Sheet'!D20,IF('IP Input Sheet'!E20&lt;&gt;"",'IP Input Sheet'!E20,'IP Input Sheet'!F20)),"[Enter IP]")</f>
        <v/>
      </c>
      <c r="E87" s="23" t="inlineStr">
        <is>
          <t>NTP Server</t>
        </is>
      </c>
      <c r="F87" s="23">
        <f>'IP Input Sheet'!D61</f>
        <v/>
      </c>
      <c r="G87" s="23" t="inlineStr">
        <is>
          <t>123</t>
        </is>
      </c>
      <c r="H87" s="23" t="inlineStr">
        <is>
          <t>UDP</t>
        </is>
      </c>
      <c r="I87" s="23" t="inlineStr">
        <is>
          <t>Time sync</t>
        </is>
      </c>
      <c r="J87" s="24" t="inlineStr">
        <is>
          <t>Allow</t>
        </is>
      </c>
      <c r="K87" s="25" t="inlineStr">
        <is>
          <t>Gateway FW</t>
        </is>
      </c>
      <c r="L87" s="23" t="inlineStr">
        <is>
          <t>Outbound</t>
        </is>
      </c>
      <c r="M87" s="23" t="inlineStr">
        <is>
          <t>CF row 108 — NTP Servers required for VLR appliance</t>
        </is>
      </c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46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46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46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46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46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46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46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46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46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46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46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46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46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46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46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46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46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46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46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46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46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46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46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46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46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46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46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46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46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46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46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46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46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46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46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46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46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46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46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46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46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46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46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46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46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46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46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46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46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46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46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46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46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46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46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46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46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46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46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46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46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46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46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46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46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46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46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46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46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46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46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46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46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46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46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46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46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46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46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46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46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46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46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46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46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46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46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46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46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46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46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46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46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46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46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46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46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46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46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46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46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46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46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46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46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46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46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46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46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46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46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46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46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46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46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46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46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46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46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46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46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46">
      <c r="A209" s="13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46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46">
      <c r="A211" s="13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46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46">
      <c r="A213" s="13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46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46">
      <c r="A215" s="13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46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46">
      <c r="A217" s="13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46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46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46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46">
      <c r="A221" s="13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46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46">
      <c r="A223" s="13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46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46">
      <c r="A225" s="13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46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46">
      <c r="A227" s="13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46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46">
      <c r="A229" s="13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46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46">
      <c r="A231" s="13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46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46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46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46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46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46">
      <c r="A237" s="13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46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46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46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46">
      <c r="A241" s="13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46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46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46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46">
      <c r="A245" s="13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46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46">
      <c r="A247" s="13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46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46">
      <c r="A249" s="13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46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46">
      <c r="A251" s="13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46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46">
      <c r="A253" s="13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46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46">
      <c r="A255" s="13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46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46">
      <c r="A257" s="13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46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46">
      <c r="A259" s="13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46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46">
      <c r="A261" s="13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46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46">
      <c r="A263" s="13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46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46">
      <c r="A265" s="13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46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46">
      <c r="A267" s="13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46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46">
      <c r="A269" s="13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46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46">
      <c r="A271" s="13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46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46">
      <c r="A273" s="13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46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46">
      <c r="A275" s="13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46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46">
      <c r="A277" s="13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46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46">
      <c r="A279" s="13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46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46">
      <c r="A281" s="13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46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46">
      <c r="A283" s="13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46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46">
      <c r="A285" s="13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46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46">
      <c r="A287" s="13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46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46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46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46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46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46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46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46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4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46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46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46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46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46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46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46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46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46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4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46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46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46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46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46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46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46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46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46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4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46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46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46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46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46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46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46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46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46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4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46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46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46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46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46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46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46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46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46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4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46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46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46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46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46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46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46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46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46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46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46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46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46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46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46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46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46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46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4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46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46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46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46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46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46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46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46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46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4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46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46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46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46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46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46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46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46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46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4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46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46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46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46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46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46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46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46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46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4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46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46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46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46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46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46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46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46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46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4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46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46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46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46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46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46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46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46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46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4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46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46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46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46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46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46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46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46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46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4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46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46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46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46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46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46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46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46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46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4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46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46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46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46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46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46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46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46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46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4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46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46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46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46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46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46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46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46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46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46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46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46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46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46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46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46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46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46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4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46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46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46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46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46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46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46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46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46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4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46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46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46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46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46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46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46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46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46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4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46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46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46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46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46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46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46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46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46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4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46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46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46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46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46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46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46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46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46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4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46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46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46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46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46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46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46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46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46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4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46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46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46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46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46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46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46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46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46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4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46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46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46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46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46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46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46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46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46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4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46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46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46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46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46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46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46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46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46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4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46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46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46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46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46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46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46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46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46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4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46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46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46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46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46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46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46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46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46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4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46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46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46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46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46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46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46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46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46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4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46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46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46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46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46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46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46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46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46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4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46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46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46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46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46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46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46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46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46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4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46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46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46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46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46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46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46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46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46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4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46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46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46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46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46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46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46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46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46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4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46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46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46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46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46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46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46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46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46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4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46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46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46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46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46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46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46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46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46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4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46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46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46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46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46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46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46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46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46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4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46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46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46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46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46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46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46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46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46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4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46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46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46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46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46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46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46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46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46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4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46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46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46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46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46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46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46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46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46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4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46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46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46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46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46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46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46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46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46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4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46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46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46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46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46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46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46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46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46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4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46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46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46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46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46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46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46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46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46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4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46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46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46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46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46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46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46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46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46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4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46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46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46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46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46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46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46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46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46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4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46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46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46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46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46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46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46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46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46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4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46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46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46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46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46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46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46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46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46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4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46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46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46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46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46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46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46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46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46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4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46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46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46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46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46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46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46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46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46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4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46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46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46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46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46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46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46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46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46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4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46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46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46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46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46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46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46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46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46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4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46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46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46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46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46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46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46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46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46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4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46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46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46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46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46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46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46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46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46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4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46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46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46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46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46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46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46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46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46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4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46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46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46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46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46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46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46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46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46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4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46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46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46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46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46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46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46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46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46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4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46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46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46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46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46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46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46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46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46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4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46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46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46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46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46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46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46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46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46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4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46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46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46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46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46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46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46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46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46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4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46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46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46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46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46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46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46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46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46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4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46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46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46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46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46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46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46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46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46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4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46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46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46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46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46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46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46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46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46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4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46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46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46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46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46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46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46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46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46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4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46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46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46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46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46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46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46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46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46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4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46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46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46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46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46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46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46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46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46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4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46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46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46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46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46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46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46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46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46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4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46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46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46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46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46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46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46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46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46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4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46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46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46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46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46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46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46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46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46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4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46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46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46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46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46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46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46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46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46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4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46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46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46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46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46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46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46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46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46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4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46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46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46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46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46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46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46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46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46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4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46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46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46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46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46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46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46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46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46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4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46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46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46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46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46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46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46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46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46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4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46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46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46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46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mergeCells count="3">
    <mergeCell ref="A65:M65"/>
    <mergeCell ref="A2:M2"/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/>
  </sheetPr>
  <dimension ref="A1:Z1002"/>
  <sheetViews>
    <sheetView workbookViewId="0">
      <selection activeCell="A1" sqref="A1"/>
    </sheetView>
  </sheetViews>
  <sheetFormatPr baseColWidth="8" defaultColWidth="14.43000030517578" defaultRowHeight="15"/>
  <cols>
    <col width="7" customWidth="1" style="46" min="1" max="1"/>
    <col width="32" customWidth="1" style="46" min="2" max="2"/>
    <col width="28" customWidth="1" style="46" min="3" max="3"/>
    <col width="24" customWidth="1" style="46" min="4" max="4"/>
    <col width="28" customWidth="1" style="46" min="5" max="5"/>
    <col width="24" customWidth="1" style="46" min="6" max="6"/>
    <col width="12" customWidth="1" style="46" min="7" max="7"/>
    <col width="10" customWidth="1" style="46" min="8" max="8"/>
    <col width="34" customWidth="1" style="46" min="9" max="9"/>
    <col width="8" customWidth="1" style="46" min="10" max="10"/>
    <col width="14" customWidth="1" style="46" min="11" max="12"/>
    <col width="38" customWidth="1" style="46" min="13" max="13"/>
    <col width="14.56999969482422" customWidth="1" style="46" min="14" max="14"/>
  </cols>
  <sheetData>
    <row r="1" ht="15.75" customHeight="1" s="46">
      <c r="A1" s="52" t="inlineStr">
        <is>
          <t>AES-220  |  Firewall Rules  |  Management Domain &amp; WLD ESXi → Fleet</t>
        </is>
      </c>
      <c r="B1" s="48" t="n"/>
      <c r="C1" s="48" t="n"/>
      <c r="D1" s="48" t="n"/>
      <c r="E1" s="48" t="n"/>
      <c r="F1" s="48" t="n"/>
      <c r="G1" s="48" t="n"/>
      <c r="H1" s="48" t="n"/>
      <c r="I1" s="48" t="n"/>
      <c r="J1" s="48" t="n"/>
      <c r="K1" s="48" t="n"/>
      <c r="L1" s="48" t="n"/>
      <c r="M1" s="48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5" customHeight="1" s="46">
      <c r="A2" s="49" t="inlineStr">
        <is>
          <t>Source IP and Destination IP auto-populate from 'IP Input Sheet'.  Fill in IPs there first.</t>
        </is>
      </c>
      <c r="B2" s="48" t="n"/>
      <c r="C2" s="48" t="n"/>
      <c r="D2" s="48" t="n"/>
      <c r="E2" s="48" t="n"/>
      <c r="F2" s="48" t="n"/>
      <c r="G2" s="48" t="n"/>
      <c r="H2" s="48" t="n"/>
      <c r="I2" s="48" t="n"/>
      <c r="J2" s="48" t="n"/>
      <c r="K2" s="48" t="n"/>
      <c r="L2" s="48" t="n"/>
      <c r="M2" s="48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5" customHeight="1" s="46">
      <c r="A3" s="6" t="inlineStr">
        <is>
          <t>#</t>
        </is>
      </c>
      <c r="B3" s="6" t="inlineStr">
        <is>
          <t>Rule Name</t>
        </is>
      </c>
      <c r="C3" s="6" t="inlineStr">
        <is>
          <t>Source Component</t>
        </is>
      </c>
      <c r="D3" s="6" t="inlineStr">
        <is>
          <t>Source IP / Subnet</t>
        </is>
      </c>
      <c r="E3" s="6" t="inlineStr">
        <is>
          <t>Destination Component</t>
        </is>
      </c>
      <c r="F3" s="6" t="inlineStr">
        <is>
          <t>Destination IP / Subnet</t>
        </is>
      </c>
      <c r="G3" s="6" t="inlineStr">
        <is>
          <t>Port</t>
        </is>
      </c>
      <c r="H3" s="6" t="inlineStr">
        <is>
          <t>Protocol</t>
        </is>
      </c>
      <c r="I3" s="6" t="inlineStr">
        <is>
          <t>Service / Application</t>
        </is>
      </c>
      <c r="J3" s="6" t="inlineStr">
        <is>
          <t>Action</t>
        </is>
      </c>
      <c r="K3" s="6" t="inlineStr">
        <is>
          <t>Firewall Type</t>
        </is>
      </c>
      <c r="L3" s="6" t="inlineStr">
        <is>
          <t>Flow Direction</t>
        </is>
      </c>
      <c r="M3" s="6" t="inlineStr">
        <is>
          <t>Notes</t>
        </is>
      </c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5" customHeight="1" s="46">
      <c r="A4" s="23" t="inlineStr">
        <is>
          <t>MF-01</t>
        </is>
      </c>
      <c r="B4" s="23" t="inlineStr">
        <is>
          <t>vCenter → Fleet Mgr (HTTPS)</t>
        </is>
      </c>
      <c r="C4" s="23" t="inlineStr">
        <is>
          <t>vCenter Server</t>
        </is>
      </c>
      <c r="D4" s="23">
        <f>IFERROR(IF('IP Input Sheet'!D13&lt;&gt;"",'IP Input Sheet'!D13,IF('IP Input Sheet'!E13&lt;&gt;"",'IP Input Sheet'!E13,'IP Input Sheet'!F13)),"[Enter IP]")</f>
        <v/>
      </c>
      <c r="E4" s="23" t="inlineStr">
        <is>
          <t>VCF Ops Fleet Manager</t>
        </is>
      </c>
      <c r="F4" s="23">
        <f>IFERROR(IF('IP Input Sheet'!D5&lt;&gt;"",'IP Input Sheet'!D5,IF('IP Input Sheet'!E5&lt;&gt;"",'IP Input Sheet'!E5,'IP Input Sheet'!F5)),"[Enter IP]")</f>
        <v/>
      </c>
      <c r="G4" s="23" t="inlineStr">
        <is>
          <t>443</t>
        </is>
      </c>
      <c r="H4" s="23" t="inlineStr">
        <is>
          <t>TCP</t>
        </is>
      </c>
      <c r="I4" s="23" t="inlineStr">
        <is>
          <t>Core APIs/HTTPS lifecycle+orchestration</t>
        </is>
      </c>
      <c r="J4" s="24" t="inlineStr">
        <is>
          <t>Allow</t>
        </is>
      </c>
      <c r="K4" s="25" t="inlineStr">
        <is>
          <t>Gateway FW</t>
        </is>
      </c>
      <c r="L4" s="23" t="inlineStr">
        <is>
          <t>Outbound</t>
        </is>
      </c>
      <c r="M4" s="23" t="inlineStr">
        <is>
          <t>Ticket req #4  Mgmt→Fleet</t>
        </is>
      </c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5" customHeight="1" s="46">
      <c r="A5" s="26" t="inlineStr">
        <is>
          <t>MF-02</t>
        </is>
      </c>
      <c r="B5" s="26" t="inlineStr">
        <is>
          <t>vCenter → VCFO (API)</t>
        </is>
      </c>
      <c r="C5" s="26" t="inlineStr">
        <is>
          <t>vCenter Server</t>
        </is>
      </c>
      <c r="D5" s="26">
        <f>IFERROR(IF('IP Input Sheet'!D13&lt;&gt;"",'IP Input Sheet'!D13,IF('IP Input Sheet'!E13&lt;&gt;"",'IP Input Sheet'!E13,'IP Input Sheet'!F13)),"[Enter IP]")</f>
        <v/>
      </c>
      <c r="E5" s="26" t="inlineStr">
        <is>
          <t>VCF Operations (VCFO)</t>
        </is>
      </c>
      <c r="F5" s="26">
        <f>IFERROR(IF('IP Input Sheet'!D6&lt;&gt;"",'IP Input Sheet'!D6,IF('IP Input Sheet'!E6&lt;&gt;"",'IP Input Sheet'!E6,'IP Input Sheet'!F6)),"[Enter IP]")</f>
        <v/>
      </c>
      <c r="G5" s="26" t="inlineStr">
        <is>
          <t>443</t>
        </is>
      </c>
      <c r="H5" s="26" t="inlineStr">
        <is>
          <t>TCP</t>
        </is>
      </c>
      <c r="I5" s="26" t="inlineStr">
        <is>
          <t>API comms bidirectional</t>
        </is>
      </c>
      <c r="J5" s="24" t="inlineStr">
        <is>
          <t>Allow</t>
        </is>
      </c>
      <c r="K5" s="25" t="inlineStr">
        <is>
          <t>Gateway FW</t>
        </is>
      </c>
      <c r="L5" s="26" t="inlineStr">
        <is>
          <t>Bidirectional</t>
        </is>
      </c>
      <c r="M5" s="26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5" customHeight="1" s="46">
      <c r="A6" s="23" t="inlineStr">
        <is>
          <t>MF-03</t>
        </is>
      </c>
      <c r="B6" s="23" t="inlineStr">
        <is>
          <t>vCenter → VCFO (node mgr)</t>
        </is>
      </c>
      <c r="C6" s="23" t="inlineStr">
        <is>
          <t>vCenter Server</t>
        </is>
      </c>
      <c r="D6" s="23">
        <f>IFERROR(IF('IP Input Sheet'!D13&lt;&gt;"",'IP Input Sheet'!D13,IF('IP Input Sheet'!E13&lt;&gt;"",'IP Input Sheet'!E13,'IP Input Sheet'!F13)),"[Enter IP]")</f>
        <v/>
      </c>
      <c r="E6" s="23" t="inlineStr">
        <is>
          <t>VCF Operations (VCFO)</t>
        </is>
      </c>
      <c r="F6" s="23">
        <f>IFERROR(IF('IP Input Sheet'!D6&lt;&gt;"",'IP Input Sheet'!D6,IF('IP Input Sheet'!E6&lt;&gt;"",'IP Input Sheet'!E6,'IP Input Sheet'!F6)),"[Enter IP]")</f>
        <v/>
      </c>
      <c r="G6" s="23" t="inlineStr">
        <is>
          <t>8443</t>
        </is>
      </c>
      <c r="H6" s="23" t="inlineStr">
        <is>
          <t>TCP</t>
        </is>
      </c>
      <c r="I6" s="23" t="inlineStr">
        <is>
          <t>Node Manager</t>
        </is>
      </c>
      <c r="J6" s="24" t="inlineStr">
        <is>
          <t>Allow</t>
        </is>
      </c>
      <c r="K6" s="25" t="inlineStr">
        <is>
          <t>Gateway FW</t>
        </is>
      </c>
      <c r="L6" s="23" t="inlineStr">
        <is>
          <t>Outbound</t>
        </is>
      </c>
      <c r="M6" s="23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5" customHeight="1" s="46">
      <c r="A7" s="26" t="inlineStr">
        <is>
          <t>MF-04</t>
        </is>
      </c>
      <c r="B7" s="26" t="inlineStr">
        <is>
          <t>vCenter → VCFA (API)</t>
        </is>
      </c>
      <c r="C7" s="26" t="inlineStr">
        <is>
          <t>vCenter Server</t>
        </is>
      </c>
      <c r="D7" s="26">
        <f>IFERROR(IF('IP Input Sheet'!D13&lt;&gt;"",'IP Input Sheet'!D13,IF('IP Input Sheet'!E13&lt;&gt;"",'IP Input Sheet'!E13,'IP Input Sheet'!F13)),"[Enter IP]")</f>
        <v/>
      </c>
      <c r="E7" s="26" t="inlineStr">
        <is>
          <t>VCF Automation (VCFA)</t>
        </is>
      </c>
      <c r="F7" s="26">
        <f>IFERROR(IF('IP Input Sheet'!D7&lt;&gt;"",'IP Input Sheet'!D7,IF('IP Input Sheet'!E7&lt;&gt;"",'IP Input Sheet'!E7,'IP Input Sheet'!F7)),"[Enter IP]")</f>
        <v/>
      </c>
      <c r="G7" s="26" t="inlineStr">
        <is>
          <t>443</t>
        </is>
      </c>
      <c r="H7" s="26" t="inlineStr">
        <is>
          <t>TCP</t>
        </is>
      </c>
      <c r="I7" s="26" t="inlineStr">
        <is>
          <t>API bidirectional</t>
        </is>
      </c>
      <c r="J7" s="24" t="inlineStr">
        <is>
          <t>Allow</t>
        </is>
      </c>
      <c r="K7" s="25" t="inlineStr">
        <is>
          <t>Gateway FW</t>
        </is>
      </c>
      <c r="L7" s="26" t="inlineStr">
        <is>
          <t>Bidirectional</t>
        </is>
      </c>
      <c r="M7" s="26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5" customHeight="1" s="46">
      <c r="A8" s="23" t="inlineStr">
        <is>
          <t>MF-05</t>
        </is>
      </c>
      <c r="B8" s="23" t="inlineStr">
        <is>
          <t>vCenter → VOL (syslog)</t>
        </is>
      </c>
      <c r="C8" s="23" t="inlineStr">
        <is>
          <t>vCenter Server</t>
        </is>
      </c>
      <c r="D8" s="23">
        <f>IFERROR(IF('IP Input Sheet'!D13&lt;&gt;"",'IP Input Sheet'!D13,IF('IP Input Sheet'!E13&lt;&gt;"",'IP Input Sheet'!E13,'IP Input Sheet'!F13)),"[Enter IP]")</f>
        <v/>
      </c>
      <c r="E8" s="23" t="inlineStr">
        <is>
          <t>VCF Operations for Logs</t>
        </is>
      </c>
      <c r="F8" s="23">
        <f>IFERROR(IF('IP Input Sheet'!D8&lt;&gt;"",'IP Input Sheet'!D8,IF('IP Input Sheet'!E8&lt;&gt;"",'IP Input Sheet'!E8,'IP Input Sheet'!F8)),"[Enter IP]")</f>
        <v/>
      </c>
      <c r="G8" s="23" t="inlineStr">
        <is>
          <t>514</t>
        </is>
      </c>
      <c r="H8" s="23" t="inlineStr">
        <is>
          <t>TCP/UDP</t>
        </is>
      </c>
      <c r="I8" s="23" t="inlineStr">
        <is>
          <t>Syslog remote logging</t>
        </is>
      </c>
      <c r="J8" s="24" t="inlineStr">
        <is>
          <t>Allow</t>
        </is>
      </c>
      <c r="K8" s="25" t="inlineStr">
        <is>
          <t>Gateway FW</t>
        </is>
      </c>
      <c r="L8" s="23" t="inlineStr">
        <is>
          <t>Outbound</t>
        </is>
      </c>
      <c r="M8" s="23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5" customHeight="1" s="46">
      <c r="A9" s="26" t="inlineStr">
        <is>
          <t>MF-06</t>
        </is>
      </c>
      <c r="B9" s="26" t="inlineStr">
        <is>
          <t>vCenter → VOL (syslog TLS)</t>
        </is>
      </c>
      <c r="C9" s="26" t="inlineStr">
        <is>
          <t>vCenter Server</t>
        </is>
      </c>
      <c r="D9" s="26">
        <f>IFERROR(IF('IP Input Sheet'!D13&lt;&gt;"",'IP Input Sheet'!D13,IF('IP Input Sheet'!E13&lt;&gt;"",'IP Input Sheet'!E13,'IP Input Sheet'!F13)),"[Enter IP]")</f>
        <v/>
      </c>
      <c r="E9" s="26" t="inlineStr">
        <is>
          <t>VCF Operations for Logs</t>
        </is>
      </c>
      <c r="F9" s="26">
        <f>IFERROR(IF('IP Input Sheet'!D8&lt;&gt;"",'IP Input Sheet'!D8,IF('IP Input Sheet'!E8&lt;&gt;"",'IP Input Sheet'!E8,'IP Input Sheet'!F8)),"[Enter IP]")</f>
        <v/>
      </c>
      <c r="G9" s="26" t="inlineStr">
        <is>
          <t>1514</t>
        </is>
      </c>
      <c r="H9" s="26" t="inlineStr">
        <is>
          <t>TCP</t>
        </is>
      </c>
      <c r="I9" s="26" t="inlineStr">
        <is>
          <t>Syslog over TLS</t>
        </is>
      </c>
      <c r="J9" s="24" t="inlineStr">
        <is>
          <t>Allow</t>
        </is>
      </c>
      <c r="K9" s="25" t="inlineStr">
        <is>
          <t>Gateway FW</t>
        </is>
      </c>
      <c r="L9" s="26" t="inlineStr">
        <is>
          <t>Outbound</t>
        </is>
      </c>
      <c r="M9" s="26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5" customHeight="1" s="46">
      <c r="A10" s="23" t="inlineStr">
        <is>
          <t>MF-07</t>
        </is>
      </c>
      <c r="B10" s="23" t="inlineStr">
        <is>
          <t>vCenter → VON (IPFIX)</t>
        </is>
      </c>
      <c r="C10" s="23" t="inlineStr">
        <is>
          <t>vCenter Server</t>
        </is>
      </c>
      <c r="D10" s="23">
        <f>IFERROR(IF('IP Input Sheet'!D13&lt;&gt;"",'IP Input Sheet'!D13,IF('IP Input Sheet'!E13&lt;&gt;"",'IP Input Sheet'!E13,'IP Input Sheet'!F13)),"[Enter IP]")</f>
        <v/>
      </c>
      <c r="E10" s="23" t="inlineStr">
        <is>
          <t>VCF Ops for Networks</t>
        </is>
      </c>
      <c r="F10" s="23">
        <f>IFERROR(IF('IP Input Sheet'!D9&lt;&gt;"",'IP Input Sheet'!D9,IF('IP Input Sheet'!E9&lt;&gt;"",'IP Input Sheet'!E9,'IP Input Sheet'!F9)),"[Enter IP]")</f>
        <v/>
      </c>
      <c r="G10" s="23" t="inlineStr">
        <is>
          <t>2055</t>
        </is>
      </c>
      <c r="H10" s="23" t="inlineStr">
        <is>
          <t>UDP</t>
        </is>
      </c>
      <c r="I10" s="23" t="inlineStr">
        <is>
          <t>IPFIX flow data vDS→NSX</t>
        </is>
      </c>
      <c r="J10" s="24" t="inlineStr">
        <is>
          <t>Allow</t>
        </is>
      </c>
      <c r="K10" s="25" t="inlineStr">
        <is>
          <t>Gateway FW</t>
        </is>
      </c>
      <c r="L10" s="23" t="inlineStr">
        <is>
          <t>Outbound</t>
        </is>
      </c>
      <c r="M10" s="23" t="inlineStr">
        <is>
          <t>vDS distributed switches send IPFIX</t>
        </is>
      </c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5" customHeight="1" s="46">
      <c r="A11" s="26" t="inlineStr">
        <is>
          <t>MF-08</t>
        </is>
      </c>
      <c r="B11" s="26" t="inlineStr">
        <is>
          <t>NSX Manager → VCFO (API)</t>
        </is>
      </c>
      <c r="C11" s="26" t="inlineStr">
        <is>
          <t>NSX Manager</t>
        </is>
      </c>
      <c r="D11" s="26">
        <f>IFERROR(IF('IP Input Sheet'!D14&lt;&gt;"",'IP Input Sheet'!D14,IF('IP Input Sheet'!E14&lt;&gt;"",'IP Input Sheet'!E14,'IP Input Sheet'!F14)),"[Enter IP]")</f>
        <v/>
      </c>
      <c r="E11" s="26" t="inlineStr">
        <is>
          <t>VCF Operations (VCFO)</t>
        </is>
      </c>
      <c r="F11" s="26">
        <f>IFERROR(IF('IP Input Sheet'!D6&lt;&gt;"",'IP Input Sheet'!D6,IF('IP Input Sheet'!E6&lt;&gt;"",'IP Input Sheet'!E6,'IP Input Sheet'!F6)),"[Enter IP]")</f>
        <v/>
      </c>
      <c r="G11" s="26" t="inlineStr">
        <is>
          <t>443</t>
        </is>
      </c>
      <c r="H11" s="26" t="inlineStr">
        <is>
          <t>TCP</t>
        </is>
      </c>
      <c r="I11" s="26" t="inlineStr">
        <is>
          <t>API/inventory collection</t>
        </is>
      </c>
      <c r="J11" s="24" t="inlineStr">
        <is>
          <t>Allow</t>
        </is>
      </c>
      <c r="K11" s="25" t="inlineStr">
        <is>
          <t>Gateway FW</t>
        </is>
      </c>
      <c r="L11" s="26" t="inlineStr">
        <is>
          <t>Outbound</t>
        </is>
      </c>
      <c r="M11" s="26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5" customHeight="1" s="46">
      <c r="A12" s="23" t="inlineStr">
        <is>
          <t>MF-09</t>
        </is>
      </c>
      <c r="B12" s="23" t="inlineStr">
        <is>
          <t>NSX Mgr → VOL (syslog)</t>
        </is>
      </c>
      <c r="C12" s="23" t="inlineStr">
        <is>
          <t>NSX Manager</t>
        </is>
      </c>
      <c r="D12" s="23">
        <f>IFERROR(IF('IP Input Sheet'!D14&lt;&gt;"",'IP Input Sheet'!D14,IF('IP Input Sheet'!E14&lt;&gt;"",'IP Input Sheet'!E14,'IP Input Sheet'!F14)),"[Enter IP]")</f>
        <v/>
      </c>
      <c r="E12" s="23" t="inlineStr">
        <is>
          <t>VCF Operations for Logs</t>
        </is>
      </c>
      <c r="F12" s="23">
        <f>IFERROR(IF('IP Input Sheet'!D8&lt;&gt;"",'IP Input Sheet'!D8,IF('IP Input Sheet'!E8&lt;&gt;"",'IP Input Sheet'!E8,'IP Input Sheet'!F8)),"[Enter IP]")</f>
        <v/>
      </c>
      <c r="G12" s="23" t="inlineStr">
        <is>
          <t>514</t>
        </is>
      </c>
      <c r="H12" s="23" t="inlineStr">
        <is>
          <t>TCP/UDP</t>
        </is>
      </c>
      <c r="I12" s="23" t="inlineStr">
        <is>
          <t>NSX node syslog</t>
        </is>
      </c>
      <c r="J12" s="24" t="inlineStr">
        <is>
          <t>Allow</t>
        </is>
      </c>
      <c r="K12" s="25" t="inlineStr">
        <is>
          <t>Gateway FW</t>
        </is>
      </c>
      <c r="L12" s="23" t="inlineStr">
        <is>
          <t>Outbound</t>
        </is>
      </c>
      <c r="M12" s="23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5" customHeight="1" s="46">
      <c r="A13" s="26" t="inlineStr">
        <is>
          <t>MF-10</t>
        </is>
      </c>
      <c r="B13" s="26" t="inlineStr">
        <is>
          <t>NSX Mgr → VOL (syslog TLS)</t>
        </is>
      </c>
      <c r="C13" s="26" t="inlineStr">
        <is>
          <t>NSX Manager</t>
        </is>
      </c>
      <c r="D13" s="26">
        <f>IFERROR(IF('IP Input Sheet'!D14&lt;&gt;"",'IP Input Sheet'!D14,IF('IP Input Sheet'!E14&lt;&gt;"",'IP Input Sheet'!E14,'IP Input Sheet'!F14)),"[Enter IP]")</f>
        <v/>
      </c>
      <c r="E13" s="26" t="inlineStr">
        <is>
          <t>VCF Operations for Logs</t>
        </is>
      </c>
      <c r="F13" s="26">
        <f>IFERROR(IF('IP Input Sheet'!D8&lt;&gt;"",'IP Input Sheet'!D8,IF('IP Input Sheet'!E8&lt;&gt;"",'IP Input Sheet'!E8,'IP Input Sheet'!F8)),"[Enter IP]")</f>
        <v/>
      </c>
      <c r="G13" s="26" t="inlineStr">
        <is>
          <t>6514</t>
        </is>
      </c>
      <c r="H13" s="26" t="inlineStr">
        <is>
          <t>TCP</t>
        </is>
      </c>
      <c r="I13" s="26" t="inlineStr">
        <is>
          <t>Syslog over TLS</t>
        </is>
      </c>
      <c r="J13" s="24" t="inlineStr">
        <is>
          <t>Allow</t>
        </is>
      </c>
      <c r="K13" s="25" t="inlineStr">
        <is>
          <t>Gateway FW</t>
        </is>
      </c>
      <c r="L13" s="26" t="inlineStr">
        <is>
          <t>Outbound</t>
        </is>
      </c>
      <c r="M13" s="26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5" customHeight="1" s="46">
      <c r="A14" s="23" t="inlineStr">
        <is>
          <t>MF-11</t>
        </is>
      </c>
      <c r="B14" s="23" t="inlineStr">
        <is>
          <t>SDDC Mgr → Fleet Mgr (HTTPS)</t>
        </is>
      </c>
      <c r="C14" s="23" t="inlineStr">
        <is>
          <t>SDDC Manager</t>
        </is>
      </c>
      <c r="D14" s="23">
        <f>IFERROR(IF('IP Input Sheet'!D16&lt;&gt;"",'IP Input Sheet'!D16,IF('IP Input Sheet'!E16&lt;&gt;"",'IP Input Sheet'!E16,'IP Input Sheet'!F16)),"[Enter IP]")</f>
        <v/>
      </c>
      <c r="E14" s="23" t="inlineStr">
        <is>
          <t>VCF Ops Fleet Manager</t>
        </is>
      </c>
      <c r="F14" s="23">
        <f>IFERROR(IF('IP Input Sheet'!D5&lt;&gt;"",'IP Input Sheet'!D5,IF('IP Input Sheet'!E5&lt;&gt;"",'IP Input Sheet'!E5,'IP Input Sheet'!F5)),"[Enter IP]")</f>
        <v/>
      </c>
      <c r="G14" s="23" t="inlineStr">
        <is>
          <t>443</t>
        </is>
      </c>
      <c r="H14" s="23" t="inlineStr">
        <is>
          <t>TCP</t>
        </is>
      </c>
      <c r="I14" s="23" t="inlineStr">
        <is>
          <t>HTTPS+API — fleet orchestration</t>
        </is>
      </c>
      <c r="J14" s="24" t="inlineStr">
        <is>
          <t>Allow</t>
        </is>
      </c>
      <c r="K14" s="25" t="inlineStr">
        <is>
          <t>Gateway FW</t>
        </is>
      </c>
      <c r="L14" s="23" t="inlineStr">
        <is>
          <t>Outbound</t>
        </is>
      </c>
      <c r="M14" s="23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5" customHeight="1" s="46">
      <c r="A15" s="26" t="inlineStr">
        <is>
          <t>MF-12</t>
        </is>
      </c>
      <c r="B15" s="26" t="inlineStr">
        <is>
          <t>SDDC Mgr → Fleet Mgr (SSH)</t>
        </is>
      </c>
      <c r="C15" s="26" t="inlineStr">
        <is>
          <t>SDDC Manager</t>
        </is>
      </c>
      <c r="D15" s="26">
        <f>IFERROR(IF('IP Input Sheet'!D16&lt;&gt;"",'IP Input Sheet'!D16,IF('IP Input Sheet'!E16&lt;&gt;"",'IP Input Sheet'!E16,'IP Input Sheet'!F16)),"[Enter IP]")</f>
        <v/>
      </c>
      <c r="E15" s="26" t="inlineStr">
        <is>
          <t>VCF Ops Fleet Manager</t>
        </is>
      </c>
      <c r="F15" s="26">
        <f>IFERROR(IF('IP Input Sheet'!D5&lt;&gt;"",'IP Input Sheet'!D5,IF('IP Input Sheet'!E5&lt;&gt;"",'IP Input Sheet'!E5,'IP Input Sheet'!F5)),"[Enter IP]")</f>
        <v/>
      </c>
      <c r="G15" s="26" t="inlineStr">
        <is>
          <t>22</t>
        </is>
      </c>
      <c r="H15" s="26" t="inlineStr">
        <is>
          <t>TCP</t>
        </is>
      </c>
      <c r="I15" s="26" t="inlineStr">
        <is>
          <t>SSH — deployment+troubleshooting</t>
        </is>
      </c>
      <c r="J15" s="24" t="inlineStr">
        <is>
          <t>Allow</t>
        </is>
      </c>
      <c r="K15" s="25" t="inlineStr">
        <is>
          <t>Gateway FW</t>
        </is>
      </c>
      <c r="L15" s="26" t="inlineStr">
        <is>
          <t>Outbound</t>
        </is>
      </c>
      <c r="M15" s="26" t="inlineStr">
        <is>
          <t>Admin  restrict to jump host</t>
        </is>
      </c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5" customHeight="1" s="46">
      <c r="A16" s="23" t="inlineStr">
        <is>
          <t>MF-13</t>
        </is>
      </c>
      <c r="B16" s="23" t="inlineStr">
        <is>
          <t>SDDC Mgr → VCFA (HTTPS)</t>
        </is>
      </c>
      <c r="C16" s="23" t="inlineStr">
        <is>
          <t>SDDC Manager</t>
        </is>
      </c>
      <c r="D16" s="23">
        <f>IFERROR(IF('IP Input Sheet'!D16&lt;&gt;"",'IP Input Sheet'!D16,IF('IP Input Sheet'!E16&lt;&gt;"",'IP Input Sheet'!E16,'IP Input Sheet'!F16)),"[Enter IP]")</f>
        <v/>
      </c>
      <c r="E16" s="23" t="inlineStr">
        <is>
          <t>VCF Automation (VCFA)</t>
        </is>
      </c>
      <c r="F16" s="23">
        <f>IFERROR(IF('IP Input Sheet'!D7&lt;&gt;"",'IP Input Sheet'!D7,IF('IP Input Sheet'!E7&lt;&gt;"",'IP Input Sheet'!E7,'IP Input Sheet'!F7)),"[Enter IP]")</f>
        <v/>
      </c>
      <c r="G16" s="23" t="inlineStr">
        <is>
          <t>443</t>
        </is>
      </c>
      <c r="H16" s="23" t="inlineStr">
        <is>
          <t>TCP</t>
        </is>
      </c>
      <c r="I16" s="23" t="inlineStr">
        <is>
          <t>API access management</t>
        </is>
      </c>
      <c r="J16" s="24" t="inlineStr">
        <is>
          <t>Allow</t>
        </is>
      </c>
      <c r="K16" s="25" t="inlineStr">
        <is>
          <t>Gateway FW</t>
        </is>
      </c>
      <c r="L16" s="23" t="inlineStr">
        <is>
          <t>Outbound</t>
        </is>
      </c>
      <c r="M16" s="23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5" customHeight="1" s="46">
      <c r="A17" s="26" t="inlineStr">
        <is>
          <t>MF-14</t>
        </is>
      </c>
      <c r="B17" s="26" t="inlineStr">
        <is>
          <t>SDDC Mgr → VCFA (SSH)</t>
        </is>
      </c>
      <c r="C17" s="26" t="inlineStr">
        <is>
          <t>SDDC Manager</t>
        </is>
      </c>
      <c r="D17" s="26">
        <f>IFERROR(IF('IP Input Sheet'!D16&lt;&gt;"",'IP Input Sheet'!D16,IF('IP Input Sheet'!E16&lt;&gt;"",'IP Input Sheet'!E16,'IP Input Sheet'!F16)),"[Enter IP]")</f>
        <v/>
      </c>
      <c r="E17" s="26" t="inlineStr">
        <is>
          <t>VCF Automation (VCFA)</t>
        </is>
      </c>
      <c r="F17" s="26">
        <f>IFERROR(IF('IP Input Sheet'!D7&lt;&gt;"",'IP Input Sheet'!D7,IF('IP Input Sheet'!E7&lt;&gt;"",'IP Input Sheet'!E7,'IP Input Sheet'!F7)),"[Enter IP]")</f>
        <v/>
      </c>
      <c r="G17" s="26" t="inlineStr">
        <is>
          <t>22</t>
        </is>
      </c>
      <c r="H17" s="26" t="inlineStr">
        <is>
          <t>TCP</t>
        </is>
      </c>
      <c r="I17" s="26" t="inlineStr">
        <is>
          <t>SSH cluster nodes</t>
        </is>
      </c>
      <c r="J17" s="24" t="inlineStr">
        <is>
          <t>Allow</t>
        </is>
      </c>
      <c r="K17" s="25" t="inlineStr">
        <is>
          <t>Gateway FW</t>
        </is>
      </c>
      <c r="L17" s="26" t="inlineStr">
        <is>
          <t>Outbound</t>
        </is>
      </c>
      <c r="M17" s="26" t="inlineStr">
        <is>
          <t>Admin  restrict to jump host</t>
        </is>
      </c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5" customHeight="1" s="46">
      <c r="A18" s="23" t="inlineStr">
        <is>
          <t>MF-15</t>
        </is>
      </c>
      <c r="B18" s="23" t="inlineStr">
        <is>
          <t>SDDC Mgr → VCFO (HTTPS)</t>
        </is>
      </c>
      <c r="C18" s="23" t="inlineStr">
        <is>
          <t>SDDC Manager</t>
        </is>
      </c>
      <c r="D18" s="23">
        <f>IFERROR(IF('IP Input Sheet'!D16&lt;&gt;"",'IP Input Sheet'!D16,IF('IP Input Sheet'!E16&lt;&gt;"",'IP Input Sheet'!E16,'IP Input Sheet'!F16)),"[Enter IP]")</f>
        <v/>
      </c>
      <c r="E18" s="23" t="inlineStr">
        <is>
          <t>VCF Operations (VCFO)</t>
        </is>
      </c>
      <c r="F18" s="23">
        <f>IFERROR(IF('IP Input Sheet'!D6&lt;&gt;"",'IP Input Sheet'!D6,IF('IP Input Sheet'!E6&lt;&gt;"",'IP Input Sheet'!E6,'IP Input Sheet'!F6)),"[Enter IP]")</f>
        <v/>
      </c>
      <c r="G18" s="23" t="inlineStr">
        <is>
          <t>443</t>
        </is>
      </c>
      <c r="H18" s="23" t="inlineStr">
        <is>
          <t>TCP</t>
        </is>
      </c>
      <c r="I18" s="23" t="inlineStr">
        <is>
          <t>API access cluster+nodes</t>
        </is>
      </c>
      <c r="J18" s="24" t="inlineStr">
        <is>
          <t>Allow</t>
        </is>
      </c>
      <c r="K18" s="25" t="inlineStr">
        <is>
          <t>Gateway FW</t>
        </is>
      </c>
      <c r="L18" s="23" t="inlineStr">
        <is>
          <t>Outbound</t>
        </is>
      </c>
      <c r="M18" s="23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5" customHeight="1" s="46">
      <c r="A19" s="26" t="inlineStr">
        <is>
          <t>MF-16</t>
        </is>
      </c>
      <c r="B19" s="26" t="inlineStr">
        <is>
          <t>SDDC Mgr → VCFO (SSH)</t>
        </is>
      </c>
      <c r="C19" s="26" t="inlineStr">
        <is>
          <t>SDDC Manager</t>
        </is>
      </c>
      <c r="D19" s="26">
        <f>IFERROR(IF('IP Input Sheet'!D16&lt;&gt;"",'IP Input Sheet'!D16,IF('IP Input Sheet'!E16&lt;&gt;"",'IP Input Sheet'!E16,'IP Input Sheet'!F16)),"[Enter IP]")</f>
        <v/>
      </c>
      <c r="E19" s="26" t="inlineStr">
        <is>
          <t>VCF Operations (VCFO)</t>
        </is>
      </c>
      <c r="F19" s="26">
        <f>IFERROR(IF('IP Input Sheet'!D6&lt;&gt;"",'IP Input Sheet'!D6,IF('IP Input Sheet'!E6&lt;&gt;"",'IP Input Sheet'!E6,'IP Input Sheet'!F6)),"[Enter IP]")</f>
        <v/>
      </c>
      <c r="G19" s="26" t="inlineStr">
        <is>
          <t>22</t>
        </is>
      </c>
      <c r="H19" s="26" t="inlineStr">
        <is>
          <t>TCP</t>
        </is>
      </c>
      <c r="I19" s="26" t="inlineStr">
        <is>
          <t>SSH cluster+collector nodes</t>
        </is>
      </c>
      <c r="J19" s="24" t="inlineStr">
        <is>
          <t>Allow</t>
        </is>
      </c>
      <c r="K19" s="25" t="inlineStr">
        <is>
          <t>Gateway FW</t>
        </is>
      </c>
      <c r="L19" s="26" t="inlineStr">
        <is>
          <t>Outbound</t>
        </is>
      </c>
      <c r="M19" s="26" t="inlineStr">
        <is>
          <t>Admin  restrict to jump host</t>
        </is>
      </c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30" customHeight="1" s="46">
      <c r="A20" s="37" t="inlineStr">
        <is>
          <t>MF-16b</t>
        </is>
      </c>
      <c r="B20" s="37" t="inlineStr">
        <is>
          <t>SDDC Mgr → vCenter (SSH)</t>
        </is>
      </c>
      <c r="C20" s="37" t="inlineStr">
        <is>
          <t>SDDC Manager</t>
        </is>
      </c>
      <c r="D20" s="37">
        <f>IFERROR(IF('IP Input Sheet'!D16&lt;&gt;"",'IP Input Sheet'!D16,IF('IP Input Sheet'!E16&lt;&gt;"",'IP Input Sheet'!E16,'IP Input Sheet'!F16)),"[Enter IP]")</f>
        <v/>
      </c>
      <c r="E20" s="37" t="inlineStr">
        <is>
          <t>vCenter Server</t>
        </is>
      </c>
      <c r="F20" s="37">
        <f>IFERROR(IF('IP Input Sheet'!D13&lt;&gt;"",'IP Input Sheet'!D13,IF('IP Input Sheet'!E13&lt;&gt;"",'IP Input Sheet'!E13,'IP Input Sheet'!F13)),"[Enter IP]")</f>
        <v/>
      </c>
      <c r="G20" s="37" t="inlineStr">
        <is>
          <t>22</t>
        </is>
      </c>
      <c r="H20" s="37" t="inlineStr">
        <is>
          <t>TCP</t>
        </is>
      </c>
      <c r="I20" s="37" t="inlineStr">
        <is>
          <t>SSH — SDDC Manager to vCenter</t>
        </is>
      </c>
      <c r="J20" s="24" t="inlineStr">
        <is>
          <t>Allow</t>
        </is>
      </c>
      <c r="K20" s="37" t="inlineStr">
        <is>
          <t>Gateway FW</t>
        </is>
      </c>
      <c r="L20" s="37" t="inlineStr">
        <is>
          <t>Outbound</t>
        </is>
      </c>
      <c r="M20" s="37" t="inlineStr">
        <is>
          <t>Added per Arun — SDDC Mgr → vCenter port 22</t>
        </is>
      </c>
      <c r="N20" s="32" t="inlineStr">
        <is>
          <t>⭐ NEW</t>
        </is>
      </c>
    </row>
    <row r="21" ht="30" customHeight="1" s="46">
      <c r="A21" s="37" t="inlineStr">
        <is>
          <t>MF-16c</t>
        </is>
      </c>
      <c r="B21" s="37" t="inlineStr">
        <is>
          <t>SDDC Mgr → ESXi Hosts (SSH)</t>
        </is>
      </c>
      <c r="C21" s="37" t="inlineStr">
        <is>
          <t>SDDC Manager</t>
        </is>
      </c>
      <c r="D21" s="37">
        <f>IFERROR(IF('IP Input Sheet'!D16&lt;&gt;"",'IP Input Sheet'!D16,IF('IP Input Sheet'!E16&lt;&gt;"",'IP Input Sheet'!E16,'IP Input Sheet'!F16)),"[Enter IP]")</f>
        <v/>
      </c>
      <c r="E21" s="37" t="inlineStr">
        <is>
          <t>ESXi Hosts (WLD)</t>
        </is>
      </c>
      <c r="F21" s="37">
        <f>IFERROR(IF('IP Input Sheet'!D54&lt;&gt;"",'IP Input Sheet'!D54,IF('IP Input Sheet'!E54&lt;&gt;"",'IP Input Sheet'!E54,'IP Input Sheet'!F54)),"[Enter IP]")</f>
        <v/>
      </c>
      <c r="G21" s="37" t="inlineStr">
        <is>
          <t>22</t>
        </is>
      </c>
      <c r="H21" s="37" t="inlineStr">
        <is>
          <t>TCP</t>
        </is>
      </c>
      <c r="I21" s="37" t="inlineStr">
        <is>
          <t>SSH — SDDC Manager to ESXi hosts</t>
        </is>
      </c>
      <c r="J21" s="24" t="inlineStr">
        <is>
          <t>Allow</t>
        </is>
      </c>
      <c r="K21" s="37" t="inlineStr">
        <is>
          <t>Gateway FW</t>
        </is>
      </c>
      <c r="L21" s="37" t="inlineStr">
        <is>
          <t>Outbound</t>
        </is>
      </c>
      <c r="M21" s="37" t="inlineStr">
        <is>
          <t>Added per Arun — SDDC Mgr → ESXi port 22</t>
        </is>
      </c>
      <c r="N21" s="32" t="inlineStr">
        <is>
          <t>⭐ NEW</t>
        </is>
      </c>
    </row>
    <row r="22" ht="15" customHeight="1" s="46">
      <c r="A22" s="23" t="inlineStr">
        <is>
          <t>MF-17</t>
        </is>
      </c>
      <c r="B22" s="23" t="inlineStr">
        <is>
          <t>SDDC Mgr → VOL (syslog)</t>
        </is>
      </c>
      <c r="C22" s="23" t="inlineStr">
        <is>
          <t>SDDC Manager</t>
        </is>
      </c>
      <c r="D22" s="23">
        <f>IFERROR(IF('IP Input Sheet'!D16&lt;&gt;"",'IP Input Sheet'!D16,IF('IP Input Sheet'!E16&lt;&gt;"",'IP Input Sheet'!E16,'IP Input Sheet'!F16)),"[Enter IP]")</f>
        <v/>
      </c>
      <c r="E22" s="23" t="inlineStr">
        <is>
          <t>VCF Operations for Logs</t>
        </is>
      </c>
      <c r="F22" s="23">
        <f>IFERROR(IF('IP Input Sheet'!D8&lt;&gt;"",'IP Input Sheet'!D8,IF('IP Input Sheet'!E8&lt;&gt;"",'IP Input Sheet'!E8,'IP Input Sheet'!F8)),"[Enter IP]")</f>
        <v/>
      </c>
      <c r="G22" s="23" t="inlineStr">
        <is>
          <t>514</t>
        </is>
      </c>
      <c r="H22" s="23" t="inlineStr">
        <is>
          <t>TCP</t>
        </is>
      </c>
      <c r="I22" s="23" t="inlineStr">
        <is>
          <t>Syslog based logging</t>
        </is>
      </c>
      <c r="J22" s="24" t="inlineStr">
        <is>
          <t>Allow</t>
        </is>
      </c>
      <c r="K22" s="25" t="inlineStr">
        <is>
          <t>Gateway FW</t>
        </is>
      </c>
      <c r="L22" s="23" t="inlineStr">
        <is>
          <t>Outbound</t>
        </is>
      </c>
      <c r="M22" s="23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" customHeight="1" s="46">
      <c r="A23" s="26" t="inlineStr">
        <is>
          <t>MF-18</t>
        </is>
      </c>
      <c r="B23" s="26" t="inlineStr">
        <is>
          <t>SDDC Mgr → VOL (9000)</t>
        </is>
      </c>
      <c r="C23" s="26" t="inlineStr">
        <is>
          <t>SDDC Manager</t>
        </is>
      </c>
      <c r="D23" s="26">
        <f>IFERROR(IF('IP Input Sheet'!D16&lt;&gt;"",'IP Input Sheet'!D16,IF('IP Input Sheet'!E16&lt;&gt;"",'IP Input Sheet'!E16,'IP Input Sheet'!F16)),"[Enter IP]")</f>
        <v/>
      </c>
      <c r="E23" s="26" t="inlineStr">
        <is>
          <t>VCF Operations for Logs</t>
        </is>
      </c>
      <c r="F23" s="26">
        <f>IFERROR(IF('IP Input Sheet'!D8&lt;&gt;"",'IP Input Sheet'!D8,IF('IP Input Sheet'!E8&lt;&gt;"",'IP Input Sheet'!E8,'IP Input Sheet'!F8)),"[Enter IP]")</f>
        <v/>
      </c>
      <c r="G23" s="26" t="inlineStr">
        <is>
          <t>9000</t>
        </is>
      </c>
      <c r="H23" s="26" t="inlineStr">
        <is>
          <t>TCP</t>
        </is>
      </c>
      <c r="I23" s="26" t="inlineStr">
        <is>
          <t>Log ingestion API CFAPI unencrypted</t>
        </is>
      </c>
      <c r="J23" s="24" t="inlineStr">
        <is>
          <t>Allow</t>
        </is>
      </c>
      <c r="K23" s="25" t="inlineStr">
        <is>
          <t>Gateway FW</t>
        </is>
      </c>
      <c r="L23" s="26" t="inlineStr">
        <is>
          <t>Outbound</t>
        </is>
      </c>
      <c r="M23" s="26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" customHeight="1" s="46">
      <c r="A24" s="23" t="inlineStr">
        <is>
          <t>MF-19</t>
        </is>
      </c>
      <c r="B24" s="23" t="inlineStr">
        <is>
          <t>SDDC Mgr → VOL (HTTPS)</t>
        </is>
      </c>
      <c r="C24" s="23" t="inlineStr">
        <is>
          <t>SDDC Manager</t>
        </is>
      </c>
      <c r="D24" s="23">
        <f>IFERROR(IF('IP Input Sheet'!D16&lt;&gt;"",'IP Input Sheet'!D16,IF('IP Input Sheet'!E16&lt;&gt;"",'IP Input Sheet'!E16,'IP Input Sheet'!F16)),"[Enter IP]")</f>
        <v/>
      </c>
      <c r="E24" s="23" t="inlineStr">
        <is>
          <t>VCF Operations for Logs</t>
        </is>
      </c>
      <c r="F24" s="23">
        <f>IFERROR(IF('IP Input Sheet'!D8&lt;&gt;"",'IP Input Sheet'!D8,IF('IP Input Sheet'!E8&lt;&gt;"",'IP Input Sheet'!E8,'IP Input Sheet'!F8)),"[Enter IP]")</f>
        <v/>
      </c>
      <c r="G24" s="23" t="inlineStr">
        <is>
          <t>443</t>
        </is>
      </c>
      <c r="H24" s="23" t="inlineStr">
        <is>
          <t>TCP</t>
        </is>
      </c>
      <c r="I24" s="23" t="inlineStr">
        <is>
          <t>Logs cluster VIP+nodes</t>
        </is>
      </c>
      <c r="J24" s="24" t="inlineStr">
        <is>
          <t>Allow</t>
        </is>
      </c>
      <c r="K24" s="25" t="inlineStr">
        <is>
          <t>Gateway FW</t>
        </is>
      </c>
      <c r="L24" s="23" t="inlineStr">
        <is>
          <t>Outbound</t>
        </is>
      </c>
      <c r="M24" s="23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" customHeight="1" s="46">
      <c r="A25" s="26" t="inlineStr">
        <is>
          <t>MF-20</t>
        </is>
      </c>
      <c r="B25" s="26" t="inlineStr">
        <is>
          <t>SDDC Mgr → VOL (9543)</t>
        </is>
      </c>
      <c r="C25" s="26" t="inlineStr">
        <is>
          <t>SDDC Manager</t>
        </is>
      </c>
      <c r="D25" s="26">
        <f>IFERROR(IF('IP Input Sheet'!D16&lt;&gt;"",'IP Input Sheet'!D16,IF('IP Input Sheet'!E16&lt;&gt;"",'IP Input Sheet'!E16,'IP Input Sheet'!F16)),"[Enter IP]")</f>
        <v/>
      </c>
      <c r="E25" s="26" t="inlineStr">
        <is>
          <t>VCF Operations for Logs</t>
        </is>
      </c>
      <c r="F25" s="26">
        <f>IFERROR(IF('IP Input Sheet'!D8&lt;&gt;"",'IP Input Sheet'!D8,IF('IP Input Sheet'!E8&lt;&gt;"",'IP Input Sheet'!E8,'IP Input Sheet'!F8)),"[Enter IP]")</f>
        <v/>
      </c>
      <c r="G25" s="26" t="inlineStr">
        <is>
          <t>9543</t>
        </is>
      </c>
      <c r="H25" s="26" t="inlineStr">
        <is>
          <t>TCP</t>
        </is>
      </c>
      <c r="I25" s="26" t="inlineStr">
        <is>
          <t>API access management ops</t>
        </is>
      </c>
      <c r="J25" s="24" t="inlineStr">
        <is>
          <t>Allow</t>
        </is>
      </c>
      <c r="K25" s="25" t="inlineStr">
        <is>
          <t>Gateway FW</t>
        </is>
      </c>
      <c r="L25" s="26" t="inlineStr">
        <is>
          <t>Outbound</t>
        </is>
      </c>
      <c r="M25" s="26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" customHeight="1" s="46">
      <c r="A26" s="23" t="inlineStr">
        <is>
          <t>MF-21</t>
        </is>
      </c>
      <c r="B26" s="23" t="inlineStr">
        <is>
          <t>SDDC Mgr → VIDB (HTTPS)</t>
        </is>
      </c>
      <c r="C26" s="23" t="inlineStr">
        <is>
          <t>SDDC Manager</t>
        </is>
      </c>
      <c r="D26" s="23">
        <f>IFERROR(IF('IP Input Sheet'!D16&lt;&gt;"",'IP Input Sheet'!D16,IF('IP Input Sheet'!E16&lt;&gt;"",'IP Input Sheet'!E16,'IP Input Sheet'!F16)),"[Enter IP]")</f>
        <v/>
      </c>
      <c r="E26" s="23" t="inlineStr">
        <is>
          <t>Identity Broker (VIDB)</t>
        </is>
      </c>
      <c r="F26" s="23">
        <f>IFERROR(IF('IP Input Sheet'!D10&lt;&gt;"",'IP Input Sheet'!D10,IF('IP Input Sheet'!E10&lt;&gt;"",'IP Input Sheet'!E10,'IP Input Sheet'!F10)),"[Enter IP]")</f>
        <v/>
      </c>
      <c r="G26" s="23" t="inlineStr">
        <is>
          <t>443</t>
        </is>
      </c>
      <c r="H26" s="23" t="inlineStr">
        <is>
          <t>TCP</t>
        </is>
      </c>
      <c r="I26" s="23" t="inlineStr">
        <is>
          <t>VCF SSO API — SDDC Mgr auth</t>
        </is>
      </c>
      <c r="J26" s="24" t="inlineStr">
        <is>
          <t>Allow</t>
        </is>
      </c>
      <c r="K26" s="25" t="inlineStr">
        <is>
          <t>Gateway FW</t>
        </is>
      </c>
      <c r="L26" s="23" t="inlineStr">
        <is>
          <t>Outbound</t>
        </is>
      </c>
      <c r="M26" s="23" t="inlineStr">
        <is>
          <t>Critical  SSO dependency</t>
        </is>
      </c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" customHeight="1" s="46">
      <c r="A27" s="26" t="inlineStr">
        <is>
          <t>MF-22</t>
        </is>
      </c>
      <c r="B27" s="26" t="inlineStr">
        <is>
          <t>SDDC Mgr → VIDB (SSH)</t>
        </is>
      </c>
      <c r="C27" s="26" t="inlineStr">
        <is>
          <t>SDDC Manager</t>
        </is>
      </c>
      <c r="D27" s="26">
        <f>IFERROR(IF('IP Input Sheet'!D16&lt;&gt;"",'IP Input Sheet'!D16,IF('IP Input Sheet'!E16&lt;&gt;"",'IP Input Sheet'!E16,'IP Input Sheet'!F16)),"[Enter IP]")</f>
        <v/>
      </c>
      <c r="E27" s="26" t="inlineStr">
        <is>
          <t>Identity Broker (VIDB)</t>
        </is>
      </c>
      <c r="F27" s="26">
        <f>IFERROR(IF('IP Input Sheet'!D10&lt;&gt;"",'IP Input Sheet'!D10,IF('IP Input Sheet'!E10&lt;&gt;"",'IP Input Sheet'!E10,'IP Input Sheet'!F10)),"[Enter IP]")</f>
        <v/>
      </c>
      <c r="G27" s="26" t="inlineStr">
        <is>
          <t>22</t>
        </is>
      </c>
      <c r="H27" s="26" t="inlineStr">
        <is>
          <t>TCP</t>
        </is>
      </c>
      <c r="I27" s="26" t="inlineStr">
        <is>
          <t>SSH SSO bringup ops</t>
        </is>
      </c>
      <c r="J27" s="24" t="inlineStr">
        <is>
          <t>Allow</t>
        </is>
      </c>
      <c r="K27" s="25" t="inlineStr">
        <is>
          <t>Gateway FW</t>
        </is>
      </c>
      <c r="L27" s="26" t="inlineStr">
        <is>
          <t>Outbound</t>
        </is>
      </c>
      <c r="M27" s="26" t="inlineStr">
        <is>
          <t>Admin — restrict to jump host</t>
        </is>
      </c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" customHeight="1" s="46">
      <c r="A28" s="23" t="inlineStr">
        <is>
          <t>MF-23</t>
        </is>
      </c>
      <c r="B28" s="23" t="inlineStr">
        <is>
          <t>ESXi → VOL (syslog)</t>
        </is>
      </c>
      <c r="C28" s="23" t="inlineStr">
        <is>
          <t>ESXi Hosts (WLD)</t>
        </is>
      </c>
      <c r="D28" s="23">
        <f>IFERROR(IF('IP Input Sheet'!D54&lt;&gt;"",'IP Input Sheet'!D54,IF('IP Input Sheet'!E54&lt;&gt;"",'IP Input Sheet'!E54,'IP Input Sheet'!F54)),"[Enter IP]")</f>
        <v/>
      </c>
      <c r="E28" s="23" t="inlineStr">
        <is>
          <t>VCF Operations for Logs</t>
        </is>
      </c>
      <c r="F28" s="23">
        <f>IFERROR(IF('IP Input Sheet'!D8&lt;&gt;"",'IP Input Sheet'!D8,IF('IP Input Sheet'!E8&lt;&gt;"",'IP Input Sheet'!E8,'IP Input Sheet'!F8)),"[Enter IP]")</f>
        <v/>
      </c>
      <c r="G28" s="23" t="inlineStr">
        <is>
          <t>514</t>
        </is>
      </c>
      <c r="H28" s="23" t="inlineStr">
        <is>
          <t>TCP/UDP</t>
        </is>
      </c>
      <c r="I28" s="23" t="inlineStr">
        <is>
          <t>vSphere host syslog to VOL</t>
        </is>
      </c>
      <c r="J28" s="24" t="inlineStr">
        <is>
          <t>Allow</t>
        </is>
      </c>
      <c r="K28" s="25" t="inlineStr">
        <is>
          <t>Gateway FW</t>
        </is>
      </c>
      <c r="L28" s="23" t="inlineStr">
        <is>
          <t>Outbound</t>
        </is>
      </c>
      <c r="M28" s="23" t="inlineStr">
        <is>
          <t>Ticket req #4 — ESXi→Fleet</t>
        </is>
      </c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" customHeight="1" s="46">
      <c r="A29" s="26" t="inlineStr">
        <is>
          <t>MF-24</t>
        </is>
      </c>
      <c r="B29" s="26" t="inlineStr">
        <is>
          <t>ESXi → VOL (syslog TLS)</t>
        </is>
      </c>
      <c r="C29" s="26" t="inlineStr">
        <is>
          <t>ESXi Hosts (WLD)</t>
        </is>
      </c>
      <c r="D29" s="26">
        <f>IFERROR(IF('IP Input Sheet'!D54&lt;&gt;"",'IP Input Sheet'!D54,IF('IP Input Sheet'!E54&lt;&gt;"",'IP Input Sheet'!E54,'IP Input Sheet'!F54)),"[Enter IP]")</f>
        <v/>
      </c>
      <c r="E29" s="26" t="inlineStr">
        <is>
          <t>VCF Operations for Logs</t>
        </is>
      </c>
      <c r="F29" s="26">
        <f>IFERROR(IF('IP Input Sheet'!D8&lt;&gt;"",'IP Input Sheet'!D8,IF('IP Input Sheet'!E8&lt;&gt;"",'IP Input Sheet'!E8,'IP Input Sheet'!F8)),"[Enter IP]")</f>
        <v/>
      </c>
      <c r="G29" s="26" t="inlineStr">
        <is>
          <t>1514</t>
        </is>
      </c>
      <c r="H29" s="26" t="inlineStr">
        <is>
          <t>TCP</t>
        </is>
      </c>
      <c r="I29" s="26" t="inlineStr">
        <is>
          <t>Secure syslog over TLS</t>
        </is>
      </c>
      <c r="J29" s="24" t="inlineStr">
        <is>
          <t>Allow</t>
        </is>
      </c>
      <c r="K29" s="25" t="inlineStr">
        <is>
          <t>Gateway FW</t>
        </is>
      </c>
      <c r="L29" s="26" t="inlineStr">
        <is>
          <t>Outbound</t>
        </is>
      </c>
      <c r="M29" s="26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" customHeight="1" s="46">
      <c r="A30" s="23" t="inlineStr">
        <is>
          <t>MF-25</t>
        </is>
      </c>
      <c r="B30" s="23" t="inlineStr">
        <is>
          <t>ESXi → VON (IPFIX)</t>
        </is>
      </c>
      <c r="C30" s="23" t="inlineStr">
        <is>
          <t>ESXi Hosts (WLD)</t>
        </is>
      </c>
      <c r="D30" s="23">
        <f>IFERROR(IF('IP Input Sheet'!D54&lt;&gt;"",'IP Input Sheet'!D54,IF('IP Input Sheet'!E54&lt;&gt;"",'IP Input Sheet'!E54,'IP Input Sheet'!F54)),"[Enter IP]")</f>
        <v/>
      </c>
      <c r="E30" s="23" t="inlineStr">
        <is>
          <t>VCF Ops for Networks</t>
        </is>
      </c>
      <c r="F30" s="23">
        <f>IFERROR(IF('IP Input Sheet'!D9&lt;&gt;"",'IP Input Sheet'!D9,IF('IP Input Sheet'!E9&lt;&gt;"",'IP Input Sheet'!E9,'IP Input Sheet'!F9)),"[Enter IP]")</f>
        <v/>
      </c>
      <c r="G30" s="23" t="inlineStr">
        <is>
          <t>4739</t>
        </is>
      </c>
      <c r="H30" s="23" t="inlineStr">
        <is>
          <t>TCP/UDP</t>
        </is>
      </c>
      <c r="I30" s="23" t="inlineStr">
        <is>
          <t>IPFIX flow export from ESXi</t>
        </is>
      </c>
      <c r="J30" s="24" t="inlineStr">
        <is>
          <t>Allow</t>
        </is>
      </c>
      <c r="K30" s="25" t="inlineStr">
        <is>
          <t>Gateway FW</t>
        </is>
      </c>
      <c r="L30" s="23" t="inlineStr">
        <is>
          <t>Outbound</t>
        </is>
      </c>
      <c r="M30" s="23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21.75" customHeight="1" s="46">
      <c r="A31" s="26" t="inlineStr">
        <is>
          <t>MF-26</t>
        </is>
      </c>
      <c r="B31" s="26" t="inlineStr">
        <is>
          <t>ESXi (Mgmt) → VOL (syslog)</t>
        </is>
      </c>
      <c r="C31" s="26" t="inlineStr">
        <is>
          <t>ESXi Hosts (Mgmt Domain)</t>
        </is>
      </c>
      <c r="D31" s="26">
        <f>IFERROR(IF('IP Input Sheet'!D18&lt;&gt;"",'IP Input Sheet'!D18,IF('IP Input Sheet'!E18&lt;&gt;"",'IP Input Sheet'!E18,'IP Input Sheet'!F18)),"[Enter IP]")</f>
        <v/>
      </c>
      <c r="E31" s="26" t="inlineStr">
        <is>
          <t>VCF Operations for Logs</t>
        </is>
      </c>
      <c r="F31" s="26">
        <f>IFERROR(IF('IP Input Sheet'!D8&lt;&gt;"",'IP Input Sheet'!D8,IF('IP Input Sheet'!E8&lt;&gt;"",'IP Input Sheet'!E8,'IP Input Sheet'!F8)),"[Enter IP]")</f>
        <v/>
      </c>
      <c r="G31" s="26" t="inlineStr">
        <is>
          <t>514</t>
        </is>
      </c>
      <c r="H31" s="26" t="inlineStr">
        <is>
          <t>TCP/UDP</t>
        </is>
      </c>
      <c r="I31" s="26" t="inlineStr">
        <is>
          <t>Mgmt domain ESXi syslog</t>
        </is>
      </c>
      <c r="J31" s="24" t="inlineStr">
        <is>
          <t>Allow</t>
        </is>
      </c>
      <c r="K31" s="25" t="inlineStr">
        <is>
          <t>Gateway FW</t>
        </is>
      </c>
      <c r="L31" s="26" t="inlineStr">
        <is>
          <t>Outbound</t>
        </is>
      </c>
      <c r="M31" s="26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" customHeight="1" s="46">
      <c r="A32" s="23" t="inlineStr">
        <is>
          <t>MF-27</t>
        </is>
      </c>
      <c r="B32" s="23" t="inlineStr">
        <is>
          <t>ESXi (Mgmt) → VOL (TLS)</t>
        </is>
      </c>
      <c r="C32" s="23" t="inlineStr">
        <is>
          <t>ESXi Hosts (Mgmt Domain)</t>
        </is>
      </c>
      <c r="D32" s="23">
        <f>IFERROR(IF('IP Input Sheet'!D18&lt;&gt;"",'IP Input Sheet'!D18,IF('IP Input Sheet'!E18&lt;&gt;"",'IP Input Sheet'!E18,'IP Input Sheet'!F18)),"[Enter IP]")</f>
        <v/>
      </c>
      <c r="E32" s="23" t="inlineStr">
        <is>
          <t>VCF Operations for Logs</t>
        </is>
      </c>
      <c r="F32" s="23">
        <f>IFERROR(IF('IP Input Sheet'!D8&lt;&gt;"",'IP Input Sheet'!D8,IF('IP Input Sheet'!E8&lt;&gt;"",'IP Input Sheet'!E8,'IP Input Sheet'!F8)),"[Enter IP]")</f>
        <v/>
      </c>
      <c r="G32" s="23" t="inlineStr">
        <is>
          <t>1514</t>
        </is>
      </c>
      <c r="H32" s="23" t="inlineStr">
        <is>
          <t>TCP</t>
        </is>
      </c>
      <c r="I32" s="23" t="inlineStr">
        <is>
          <t>Secure syslog TLS</t>
        </is>
      </c>
      <c r="J32" s="24" t="inlineStr">
        <is>
          <t>Allow</t>
        </is>
      </c>
      <c r="K32" s="25" t="inlineStr">
        <is>
          <t>Gateway FW</t>
        </is>
      </c>
      <c r="L32" s="23" t="inlineStr">
        <is>
          <t>Outbound</t>
        </is>
      </c>
      <c r="M32" s="23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" customHeight="1" s="46">
      <c r="A33" s="26" t="inlineStr">
        <is>
          <t>MF-28</t>
        </is>
      </c>
      <c r="B33" s="26" t="inlineStr">
        <is>
          <t>ICMP All → Fleet (reachability)</t>
        </is>
      </c>
      <c r="C33" s="26" t="inlineStr">
        <is>
          <t>All Mgmt Domain Components</t>
        </is>
      </c>
      <c r="D33" s="26">
        <f>IFERROR(IF('IP Input Sheet'!D18&lt;&gt;"",'IP Input Sheet'!D18,IF('IP Input Sheet'!E18&lt;&gt;"",'IP Input Sheet'!E18,'IP Input Sheet'!F18)),"[Enter IP]")</f>
        <v/>
      </c>
      <c r="E33" s="26" t="inlineStr">
        <is>
          <t>All Fleet Components</t>
        </is>
      </c>
      <c r="F33" s="26" t="inlineStr">
        <is>
          <t>[All Fleet IPs]</t>
        </is>
      </c>
      <c r="G33" s="26" t="inlineStr">
        <is>
          <t>ICMP</t>
        </is>
      </c>
      <c r="H33" s="26" t="inlineStr">
        <is>
          <t>ICMP</t>
        </is>
      </c>
      <c r="I33" s="26" t="inlineStr">
        <is>
          <t>IP reachability — ping/traceroute</t>
        </is>
      </c>
      <c r="J33" s="24" t="inlineStr">
        <is>
          <t>Allow</t>
        </is>
      </c>
      <c r="K33" s="25" t="inlineStr">
        <is>
          <t>Gateway FW</t>
        </is>
      </c>
      <c r="L33" s="26" t="inlineStr">
        <is>
          <t>Bidirectional</t>
        </is>
      </c>
      <c r="M33" s="26" t="inlineStr">
        <is>
          <t>ALL Fleet-level &amp; VCF instance-level — mandatory</t>
        </is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" customHeight="1" s="46">
      <c r="A34" s="23" t="inlineStr">
        <is>
          <t>MF-29</t>
        </is>
      </c>
      <c r="B34" s="23" t="inlineStr">
        <is>
          <t>VON Collector → VON (HTTPS)</t>
        </is>
      </c>
      <c r="C34" s="23" t="inlineStr">
        <is>
          <t>VCF OPS Network Collector (M7)</t>
        </is>
      </c>
      <c r="D34" s="23">
        <f>IFERROR(IF('IP Input Sheet'!D19&lt;&gt;"",'IP Input Sheet'!D19,IF('IP Input Sheet'!E19&lt;&gt;"",'IP Input Sheet'!E19,'IP Input Sheet'!F19)),"[Enter IP]")</f>
        <v/>
      </c>
      <c r="E34" s="23" t="inlineStr">
        <is>
          <t>VCF Ops for Networks (VON)</t>
        </is>
      </c>
      <c r="F34" s="23">
        <f>IFERROR(IF('IP Input Sheet'!D9&lt;&gt;"",'IP Input Sheet'!D9,IF('IP Input Sheet'!E9&lt;&gt;"",'IP Input Sheet'!E9,'IP Input Sheet'!F9)),"[Enter IP]")</f>
        <v/>
      </c>
      <c r="G34" s="23" t="inlineStr">
        <is>
          <t>443</t>
        </is>
      </c>
      <c r="H34" s="23" t="inlineStr">
        <is>
          <t>TCP</t>
        </is>
      </c>
      <c r="I34" s="23" t="inlineStr">
        <is>
          <t>Collector → VON bidirectional API</t>
        </is>
      </c>
      <c r="J34" s="24" t="inlineStr">
        <is>
          <t>Allow</t>
        </is>
      </c>
      <c r="K34" s="25" t="inlineStr">
        <is>
          <t>Gateway FW</t>
        </is>
      </c>
      <c r="L34" s="23" t="inlineStr">
        <is>
          <t>Outbound</t>
        </is>
      </c>
      <c r="M34" s="23" t="inlineStr">
        <is>
          <t>M7 — added per Raju</t>
        </is>
      </c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" customHeight="1" s="46">
      <c r="A35" s="26" t="inlineStr">
        <is>
          <t>MF-30</t>
        </is>
      </c>
      <c r="B35" s="26" t="inlineStr">
        <is>
          <t>VON Collector → NSX Manager</t>
        </is>
      </c>
      <c r="C35" s="26" t="inlineStr">
        <is>
          <t>VCF OPS Network Collector (M7)</t>
        </is>
      </c>
      <c r="D35" s="26">
        <f>IFERROR(IF('IP Input Sheet'!D19&lt;&gt;"",'IP Input Sheet'!D19,IF('IP Input Sheet'!E19&lt;&gt;"",'IP Input Sheet'!E19,'IP Input Sheet'!F19)),"[Enter IP]")</f>
        <v/>
      </c>
      <c r="E35" s="26" t="inlineStr">
        <is>
          <t>NSX Manager</t>
        </is>
      </c>
      <c r="F35" s="26">
        <f>IFERROR(IF('IP Input Sheet'!D14&lt;&gt;"",'IP Input Sheet'!D14,IF('IP Input Sheet'!E14&lt;&gt;"",'IP Input Sheet'!E14,'IP Input Sheet'!F14)),"[Enter IP]")</f>
        <v/>
      </c>
      <c r="G35" s="26" t="inlineStr">
        <is>
          <t>443</t>
        </is>
      </c>
      <c r="H35" s="26" t="inlineStr">
        <is>
          <t>TCP</t>
        </is>
      </c>
      <c r="I35" s="26" t="inlineStr">
        <is>
          <t>Collector pulls NSX flow/topology data</t>
        </is>
      </c>
      <c r="J35" s="24" t="inlineStr">
        <is>
          <t>Allow</t>
        </is>
      </c>
      <c r="K35" s="25" t="inlineStr">
        <is>
          <t>Gateway FW</t>
        </is>
      </c>
      <c r="L35" s="26" t="inlineStr">
        <is>
          <t>Outbound</t>
        </is>
      </c>
      <c r="M35" s="26" t="inlineStr">
        <is>
          <t>M7 — per Raju</t>
        </is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" customHeight="1" s="46">
      <c r="A36" s="23" t="inlineStr">
        <is>
          <t>MF-31</t>
        </is>
      </c>
      <c r="B36" s="23" t="inlineStr">
        <is>
          <t>VON Collector → vCenter</t>
        </is>
      </c>
      <c r="C36" s="23" t="inlineStr">
        <is>
          <t>VCF OPS Network Collector (M7)</t>
        </is>
      </c>
      <c r="D36" s="23">
        <f>IFERROR(IF('IP Input Sheet'!D19&lt;&gt;"",'IP Input Sheet'!D19,IF('IP Input Sheet'!E19&lt;&gt;"",'IP Input Sheet'!E19,'IP Input Sheet'!F19)),"[Enter IP]")</f>
        <v/>
      </c>
      <c r="E36" s="23" t="inlineStr">
        <is>
          <t>vCenter Server</t>
        </is>
      </c>
      <c r="F36" s="23">
        <f>IFERROR(IF('IP Input Sheet'!D13&lt;&gt;"",'IP Input Sheet'!D13,IF('IP Input Sheet'!E13&lt;&gt;"",'IP Input Sheet'!E13,'IP Input Sheet'!F13)),"[Enter IP]")</f>
        <v/>
      </c>
      <c r="G36" s="23" t="inlineStr">
        <is>
          <t>443</t>
        </is>
      </c>
      <c r="H36" s="23" t="inlineStr">
        <is>
          <t>TCP</t>
        </is>
      </c>
      <c r="I36" s="23" t="inlineStr">
        <is>
          <t>Collector pulls vCenter inventory</t>
        </is>
      </c>
      <c r="J36" s="24" t="inlineStr">
        <is>
          <t>Allow</t>
        </is>
      </c>
      <c r="K36" s="25" t="inlineStr">
        <is>
          <t>Gateway FW</t>
        </is>
      </c>
      <c r="L36" s="23" t="inlineStr">
        <is>
          <t>Outbound</t>
        </is>
      </c>
      <c r="M36" s="23" t="inlineStr">
        <is>
          <t>M7 — per Raju</t>
        </is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25.5" customHeight="1" s="46">
      <c r="A37" s="26" t="inlineStr">
        <is>
          <t>MF-32</t>
        </is>
      </c>
      <c r="B37" s="26" t="inlineStr">
        <is>
          <t>SDDC Mgr → VON Collector</t>
        </is>
      </c>
      <c r="C37" s="26" t="inlineStr">
        <is>
          <t>SDDC Manager</t>
        </is>
      </c>
      <c r="D37" s="26">
        <f>IFERROR(IF('IP Input Sheet'!D16&lt;&gt;"",'IP Input Sheet'!D16,IF('IP Input Sheet'!E16&lt;&gt;"",'IP Input Sheet'!E16,'IP Input Sheet'!F16)),"[Enter IP]")</f>
        <v/>
      </c>
      <c r="E37" s="26" t="inlineStr">
        <is>
          <t>VCF OPS Network Collector (M7)</t>
        </is>
      </c>
      <c r="F37" s="26">
        <f>IFERROR(IF('IP Input Sheet'!D19&lt;&gt;"",'IP Input Sheet'!D19,IF('IP Input Sheet'!E19&lt;&gt;"",'IP Input Sheet'!E19,'IP Input Sheet'!F19)),"[Enter IP]")</f>
        <v/>
      </c>
      <c r="G37" s="26" t="inlineStr">
        <is>
          <t>443</t>
        </is>
      </c>
      <c r="H37" s="26" t="inlineStr">
        <is>
          <t>TCP</t>
        </is>
      </c>
      <c r="I37" s="26" t="inlineStr">
        <is>
          <t>SDDC lifecycle management of collector</t>
        </is>
      </c>
      <c r="J37" s="24" t="inlineStr">
        <is>
          <t>Allow</t>
        </is>
      </c>
      <c r="K37" s="25" t="inlineStr">
        <is>
          <t>Gateway FW</t>
        </is>
      </c>
      <c r="L37" s="26" t="inlineStr">
        <is>
          <t>Outbound</t>
        </is>
      </c>
      <c r="M37" s="26" t="inlineStr">
        <is>
          <t>M7 — per Raju</t>
        </is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25.5" customHeight="1" s="46">
      <c r="A38" s="51" t="inlineStr">
        <is>
          <t>NSX FEDERATION INTER-SITE RULES  (LM ↔ GM)  —  Added per NSX team requirement</t>
        </is>
      </c>
      <c r="B38" s="48" t="n"/>
      <c r="C38" s="48" t="n"/>
      <c r="D38" s="48" t="n"/>
      <c r="E38" s="48" t="n"/>
      <c r="F38" s="48" t="n"/>
      <c r="G38" s="48" t="n"/>
      <c r="H38" s="48" t="n"/>
      <c r="I38" s="48" t="n"/>
      <c r="J38" s="48" t="n"/>
      <c r="K38" s="48" t="n"/>
      <c r="L38" s="48" t="n"/>
      <c r="M38" s="48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25.5" customHeight="1" s="46">
      <c r="A39" s="33" t="inlineStr">
        <is>
          <t>FED-02</t>
        </is>
      </c>
      <c r="B39" s="33" t="inlineStr">
        <is>
          <t>NSX LM → NSX GM — API Sync (reverse)</t>
        </is>
      </c>
      <c r="C39" s="34" t="inlineStr">
        <is>
          <t>NSX Local Manager (M2)</t>
        </is>
      </c>
      <c r="D39" s="34">
        <f>IFERROR(IF('IP Input Sheet'!D14&lt;&gt;"",'IP Input Sheet'!D14,IF('IP Input Sheet'!E14&lt;&gt;"",'IP Input Sheet'!E14,'IP Input Sheet'!F14)),"[Enter IP]")</f>
        <v/>
      </c>
      <c r="E39" s="34" t="inlineStr">
        <is>
          <t>NSX Global Manager (M3)</t>
        </is>
      </c>
      <c r="F39" s="34">
        <f>IFERROR(IF('IP Input Sheet'!D15&lt;&gt;"",'IP Input Sheet'!D15,IF('IP Input Sheet'!E15&lt;&gt;"",'IP Input Sheet'!E15,'IP Input Sheet'!F15)),"[Enter IP]")</f>
        <v/>
      </c>
      <c r="G39" s="34" t="inlineStr">
        <is>
          <t>443</t>
        </is>
      </c>
      <c r="H39" s="34" t="inlineStr">
        <is>
          <t>TCP</t>
        </is>
      </c>
      <c r="I39" s="34" t="inlineStr">
        <is>
          <t>API &amp; Management Plane synchronisation — LM status reporting to GM</t>
        </is>
      </c>
      <c r="J39" s="24" t="inlineStr">
        <is>
          <t>Allow</t>
        </is>
      </c>
      <c r="K39" s="28" t="inlineStr">
        <is>
          <t>Gateway FW</t>
        </is>
      </c>
      <c r="L39" s="34" t="inlineStr">
        <is>
          <t>Outbound</t>
        </is>
      </c>
      <c r="M39" s="34" t="inlineStr">
        <is>
          <t>LM→GM TCP 443 bidirectional with FED-01</t>
        </is>
      </c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25.5" customHeight="1" s="46">
      <c r="A40" s="33" t="inlineStr">
        <is>
          <t>FED-04</t>
        </is>
      </c>
      <c r="B40" s="33" t="inlineStr">
        <is>
          <t>NSX LM → NSX GM — Async Replication (reverse)</t>
        </is>
      </c>
      <c r="C40" s="34" t="inlineStr">
        <is>
          <t>NSX Local Manager (M2)</t>
        </is>
      </c>
      <c r="D40" s="34">
        <f>IFERROR(IF('IP Input Sheet'!D14&lt;&gt;"",'IP Input Sheet'!D14,IF('IP Input Sheet'!E14&lt;&gt;"",'IP Input Sheet'!E14,'IP Input Sheet'!F14)),"[Enter IP]")</f>
        <v/>
      </c>
      <c r="E40" s="34" t="inlineStr">
        <is>
          <t>NSX Global Manager (M3)</t>
        </is>
      </c>
      <c r="F40" s="34">
        <f>IFERROR(IF('IP Input Sheet'!D15&lt;&gt;"",'IP Input Sheet'!D15,IF('IP Input Sheet'!E15&lt;&gt;"",'IP Input Sheet'!E15,'IP Input Sheet'!F15)),"[Enter IP]")</f>
        <v/>
      </c>
      <c r="G40" s="34" t="inlineStr">
        <is>
          <t>1236</t>
        </is>
      </c>
      <c r="H40" s="34" t="inlineStr">
        <is>
          <t>TCP</t>
        </is>
      </c>
      <c r="I40" s="34" t="inlineStr">
        <is>
          <t>Asynchronous Replication acknowledgement — LM confirms receipt to GM</t>
        </is>
      </c>
      <c r="J40" s="24" t="inlineStr">
        <is>
          <t>Allow</t>
        </is>
      </c>
      <c r="K40" s="28" t="inlineStr">
        <is>
          <t>Gateway FW</t>
        </is>
      </c>
      <c r="L40" s="34" t="inlineStr">
        <is>
          <t>Outbound</t>
        </is>
      </c>
      <c r="M40" s="34" t="inlineStr">
        <is>
          <t>TCP 1236 bidirectional with FED-03 — CRITICAL</t>
        </is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51.75" customHeight="1" s="46">
      <c r="A41" s="29" t="inlineStr">
        <is>
          <t>FED-01</t>
        </is>
      </c>
      <c r="B41" s="29" t="inlineStr">
        <is>
          <t>NSX GM → LM  TCP 443 (API + Mgmt Plane Sync)</t>
        </is>
      </c>
      <c r="C41" s="29" t="inlineStr">
        <is>
          <t>NSX Global Manager (M3)</t>
        </is>
      </c>
      <c r="D41" s="29">
        <f>IFERROR(IF('IP Input Sheet'!D15&lt;&gt;"",'IP Input Sheet'!D15,IF('IP Input Sheet'!E15&lt;&gt;"",'IP Input Sheet'!E15,'IP Input Sheet'!F15)),"[Enter IP]")</f>
        <v/>
      </c>
      <c r="E41" s="29" t="inlineStr">
        <is>
          <t>NSX Local Manager (M2)</t>
        </is>
      </c>
      <c r="F41" s="29">
        <f>IFERROR(IF('IP Input Sheet'!D14&lt;&gt;"",'IP Input Sheet'!D14,IF('IP Input Sheet'!E14&lt;&gt;"",'IP Input Sheet'!E14,'IP Input Sheet'!F14)),"[Enter IP]")</f>
        <v/>
      </c>
      <c r="G41" s="29" t="inlineStr">
        <is>
          <t>443</t>
        </is>
      </c>
      <c r="H41" s="29" t="inlineStr">
        <is>
          <t>TCP</t>
        </is>
      </c>
      <c r="I41" s="29" t="inlineStr">
        <is>
          <t>NSX Federation — API &amp; Management Plane Synchronisation GM→LM</t>
        </is>
      </c>
      <c r="J41" s="24" t="inlineStr">
        <is>
          <t>Allow</t>
        </is>
      </c>
      <c r="K41" s="28" t="inlineStr">
        <is>
          <t>Gateway FW</t>
        </is>
      </c>
      <c r="L41" s="29" t="inlineStr">
        <is>
          <t>Bidirectional</t>
        </is>
      </c>
      <c r="M41" s="29" t="inlineStr">
        <is>
          <t>NSX Federation note: Federation port — GM pushes policy to LM. Required per AZ.</t>
        </is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25.5" customHeight="1" s="46">
      <c r="A42" s="27" t="inlineStr">
        <is>
          <t>FED-02</t>
        </is>
      </c>
      <c r="B42" s="27" t="inlineStr">
        <is>
          <t>NSX LM → GM  TCP 443 (reverse sync)</t>
        </is>
      </c>
      <c r="C42" s="27" t="inlineStr">
        <is>
          <t>NSX Local Manager (M2)</t>
        </is>
      </c>
      <c r="D42" s="27">
        <f>IFERROR(IF('IP Input Sheet'!D14&lt;&gt;"",'IP Input Sheet'!D14,IF('IP Input Sheet'!E14&lt;&gt;"",'IP Input Sheet'!E14,'IP Input Sheet'!F14)),"[Enter IP]")</f>
        <v/>
      </c>
      <c r="E42" s="27" t="inlineStr">
        <is>
          <t>NSX Global Manager (M3)</t>
        </is>
      </c>
      <c r="F42" s="27">
        <f>IFERROR(IF('IP Input Sheet'!D15&lt;&gt;"",'IP Input Sheet'!D15,IF('IP Input Sheet'!E15&lt;&gt;"",'IP Input Sheet'!E15,'IP Input Sheet'!F15)),"[Enter IP]")</f>
        <v/>
      </c>
      <c r="G42" s="27" t="inlineStr">
        <is>
          <t>443</t>
        </is>
      </c>
      <c r="H42" s="27" t="inlineStr">
        <is>
          <t>TCP</t>
        </is>
      </c>
      <c r="I42" s="27" t="inlineStr">
        <is>
          <t>NSX Federation — API &amp; Management Plane Sync LM→GM (return path)</t>
        </is>
      </c>
      <c r="J42" s="24" t="inlineStr">
        <is>
          <t>Allow</t>
        </is>
      </c>
      <c r="K42" s="28" t="inlineStr">
        <is>
          <t>Gateway FW</t>
        </is>
      </c>
      <c r="L42" s="27" t="inlineStr">
        <is>
          <t>Bidirectional</t>
        </is>
      </c>
      <c r="M42" s="27" t="inlineStr">
        <is>
          <t>NSX Federation note: Bidirectional — LM must also reach GM on 443.</t>
        </is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39" customHeight="1" s="46">
      <c r="A43" s="29" t="inlineStr">
        <is>
          <t>FED-03</t>
        </is>
      </c>
      <c r="B43" s="35" t="inlineStr">
        <is>
          <t>NSX GM → LM  TCP 1236 (Async Replication) ⚠️ MISSING</t>
        </is>
      </c>
      <c r="C43" s="29" t="inlineStr">
        <is>
          <t>NSX Global Manager (M3)</t>
        </is>
      </c>
      <c r="D43" s="29">
        <f>IFERROR(IF('IP Input Sheet'!D15&lt;&gt;"",'IP Input Sheet'!D15,IF('IP Input Sheet'!E15&lt;&gt;"",'IP Input Sheet'!E15,'IP Input Sheet'!F15)),"[Enter IP]")</f>
        <v/>
      </c>
      <c r="E43" s="29" t="inlineStr">
        <is>
          <t>NSX Local Manager (M2)</t>
        </is>
      </c>
      <c r="F43" s="29">
        <f>IFERROR(IF('IP Input Sheet'!D14&lt;&gt;"",'IP Input Sheet'!D14,IF('IP Input Sheet'!E14&lt;&gt;"",'IP Input Sheet'!E14,'IP Input Sheet'!F14)),"[Enter IP]")</f>
        <v/>
      </c>
      <c r="G43" s="29" t="inlineStr">
        <is>
          <t>1236</t>
        </is>
      </c>
      <c r="H43" s="29" t="inlineStr">
        <is>
          <t>TCP</t>
        </is>
      </c>
      <c r="I43" s="29" t="inlineStr">
        <is>
          <t>NSX Federation — Asynchronous Replication. Core engine pushing Global config from GM to all LMs. WITHOUT THIS FEDERATION WILL NOT SYNC.</t>
        </is>
      </c>
      <c r="J43" s="24" t="inlineStr">
        <is>
          <t>Allow</t>
        </is>
      </c>
      <c r="K43" s="28" t="inlineStr">
        <is>
          <t>Gateway FW</t>
        </is>
      </c>
      <c r="L43" s="29" t="inlineStr">
        <is>
          <t>Bidirectional</t>
        </is>
      </c>
      <c r="M43" s="29" t="inlineStr">
        <is>
          <t>NSX Federation note: TCP 1236 was MISSING — added per NSX team 23/03/2026. WHITELIST IMMEDIATELY.</t>
        </is>
      </c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39" customHeight="1" s="46">
      <c r="A44" s="27" t="inlineStr">
        <is>
          <t>FED-04</t>
        </is>
      </c>
      <c r="B44" s="35" t="inlineStr">
        <is>
          <t>NSX LM → GM  TCP 1236 (Async Replication return)</t>
        </is>
      </c>
      <c r="C44" s="27" t="inlineStr">
        <is>
          <t>NSX Local Manager (M2)</t>
        </is>
      </c>
      <c r="D44" s="27">
        <f>IFERROR(IF('IP Input Sheet'!D14&lt;&gt;"",'IP Input Sheet'!D14,IF('IP Input Sheet'!E14&lt;&gt;"",'IP Input Sheet'!E14,'IP Input Sheet'!F14)),"[Enter IP]")</f>
        <v/>
      </c>
      <c r="E44" s="27" t="inlineStr">
        <is>
          <t>NSX Global Manager (M3)</t>
        </is>
      </c>
      <c r="F44" s="27">
        <f>IFERROR(IF('IP Input Sheet'!D15&lt;&gt;"",'IP Input Sheet'!D15,IF('IP Input Sheet'!E15&lt;&gt;"",'IP Input Sheet'!E15,'IP Input Sheet'!F15)),"[Enter IP]")</f>
        <v/>
      </c>
      <c r="G44" s="27" t="inlineStr">
        <is>
          <t>1236</t>
        </is>
      </c>
      <c r="H44" s="27" t="inlineStr">
        <is>
          <t>TCP</t>
        </is>
      </c>
      <c r="I44" s="27" t="inlineStr">
        <is>
          <t>NSX Federation — Async Replication return path LM→GM</t>
        </is>
      </c>
      <c r="J44" s="24" t="inlineStr">
        <is>
          <t>Allow</t>
        </is>
      </c>
      <c r="K44" s="28" t="inlineStr">
        <is>
          <t>Gateway FW</t>
        </is>
      </c>
      <c r="L44" s="27" t="inlineStr">
        <is>
          <t>Bidirectional</t>
        </is>
      </c>
      <c r="M44" s="27" t="inlineStr">
        <is>
          <t>NSX Federation note: Bidirectional — both directions required for AR sync.</t>
        </is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8" customHeight="1" s="46">
      <c r="A45" s="29" t="inlineStr">
        <is>
          <t>FED-05</t>
        </is>
      </c>
      <c r="B45" s="29" t="inlineStr">
        <is>
          <t>NSX Edge → Remote Edge  TCP 179 (Inter-SR BGP)</t>
        </is>
      </c>
      <c r="C45" s="29" t="inlineStr">
        <is>
          <t>NSX Edge Node (local)</t>
        </is>
      </c>
      <c r="D45" s="29">
        <f>IFERROR(IF('IP Input Sheet'!D22&lt;&gt;"",'IP Input Sheet'!D22,IF('IP Input Sheet'!E22&lt;&gt;"",'IP Input Sheet'!E22,'IP Input Sheet'!F22)),"[Enter IP]")</f>
        <v/>
      </c>
      <c r="E45" s="29" t="inlineStr">
        <is>
          <t>NSX Remote Edge Node</t>
        </is>
      </c>
      <c r="F45" s="29">
        <f>IFERROR(IF('IP Input Sheet'!D26&lt;&gt;"",'IP Input Sheet'!D26,IF('IP Input Sheet'!E26&lt;&gt;"",'IP Input Sheet'!E26,'IP Input Sheet'!F26)),"[Enter IP]")</f>
        <v/>
      </c>
      <c r="G45" s="29" t="inlineStr">
        <is>
          <t>179</t>
        </is>
      </c>
      <c r="H45" s="29" t="inlineStr">
        <is>
          <t>TCP</t>
        </is>
      </c>
      <c r="I45" s="29" t="inlineStr">
        <is>
          <t>NSX Federation — Inter-Site BGP between Service Routers across AZs. Used for routing updates between locations.</t>
        </is>
      </c>
      <c r="J45" s="24" t="inlineStr">
        <is>
          <t>Allow</t>
        </is>
      </c>
      <c r="K45" s="28" t="inlineStr">
        <is>
          <t>Gateway FW</t>
        </is>
      </c>
      <c r="L45" s="29" t="inlineStr">
        <is>
          <t>Bidirectional</t>
        </is>
      </c>
      <c r="M45" s="29" t="inlineStr">
        <is>
          <t>NSX Federation note: Inter-SR BGP — separate from Edge→ToR BGP. Cross-AZ Service Router routing.</t>
        </is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8" customHeight="1" s="46">
      <c r="A46" s="27" t="inlineStr">
        <is>
          <t>FED-06</t>
        </is>
      </c>
      <c r="B46" s="27" t="inlineStr">
        <is>
          <t>NSX Edge → Remote Edge  UDP 6081 (GENEVE cross-AZ)</t>
        </is>
      </c>
      <c r="C46" s="27" t="inlineStr">
        <is>
          <t>NSX Edge Node RTEP (local)</t>
        </is>
      </c>
      <c r="D46" s="27">
        <f>IFERROR(IF('IP Input Sheet'!D31&lt;&gt;"",'IP Input Sheet'!D31,IF('IP Input Sheet'!E31&lt;&gt;"",'IP Input Sheet'!E31,'IP Input Sheet'!F31)),"[Enter IP]")</f>
        <v/>
      </c>
      <c r="E46" s="27" t="inlineStr">
        <is>
          <t>NSX Remote Edge Node RTEP</t>
        </is>
      </c>
      <c r="F46" s="27">
        <f>IFERROR(IF('IP Input Sheet'!D31&lt;&gt;"",'IP Input Sheet'!D31,IF('IP Input Sheet'!E31&lt;&gt;"",'IP Input Sheet'!E31,'IP Input Sheet'!F31)),"[Enter IP]")</f>
        <v/>
      </c>
      <c r="G46" s="27" t="inlineStr">
        <is>
          <t>6081</t>
        </is>
      </c>
      <c r="H46" s="27" t="inlineStr">
        <is>
          <t>UDP</t>
        </is>
      </c>
      <c r="I46" s="27" t="inlineStr">
        <is>
          <t>NSX Federation — GENEVE overlay for stretched logical segments across AZs via RTEP VLAN 2605.</t>
        </is>
      </c>
      <c r="J46" s="24" t="inlineStr">
        <is>
          <t>Allow</t>
        </is>
      </c>
      <c r="K46" s="28" t="inlineStr">
        <is>
          <t>Gateway FW</t>
        </is>
      </c>
      <c r="L46" s="27" t="inlineStr">
        <is>
          <t>Bidirectional</t>
        </is>
      </c>
      <c r="M46" s="27" t="inlineStr">
        <is>
          <t>NSX Federation note: Already covered as TEP-03 but added here explicitly as Federation requirement. MTU 1700+ required.</t>
        </is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8" customHeight="1" s="46">
      <c r="A47" s="29" t="inlineStr">
        <is>
          <t>VAMI-05</t>
        </is>
      </c>
      <c r="B47" s="35" t="inlineStr">
        <is>
          <t>vCenter VAMI ↔ Fleet Mgr (5480 bidirectional)</t>
        </is>
      </c>
      <c r="C47" s="29" t="inlineStr">
        <is>
          <t>vCenter Server (VAMI)</t>
        </is>
      </c>
      <c r="D47" s="29">
        <f>IFERROR(IF('IP Input Sheet'!D13&lt;&gt;"",'IP Input Sheet'!D13,IF('IP Input Sheet'!E13&lt;&gt;"",'IP Input Sheet'!E13,'IP Input Sheet'!F13)),"[Enter IP]")</f>
        <v/>
      </c>
      <c r="E47" s="29" t="inlineStr">
        <is>
          <t>VCF Operations Fleet Manager</t>
        </is>
      </c>
      <c r="F47" s="29">
        <f>IFERROR(IF('IP Input Sheet'!D5&lt;&gt;"",'IP Input Sheet'!D5,IF('IP Input Sheet'!E5&lt;&gt;"",'IP Input Sheet'!E5,'IP Input Sheet'!F5)),"[Enter IP]")</f>
        <v/>
      </c>
      <c r="G47" s="29" t="inlineStr">
        <is>
          <t>5480</t>
        </is>
      </c>
      <c r="H47" s="29" t="inlineStr">
        <is>
          <t>TCP</t>
        </is>
      </c>
      <c r="I47" s="29" t="inlineStr">
        <is>
          <t>VAMI bidirectional — appliance management response path</t>
        </is>
      </c>
      <c r="J47" s="24" t="inlineStr">
        <is>
          <t>Allow</t>
        </is>
      </c>
      <c r="K47" s="28" t="inlineStr">
        <is>
          <t>Gateway FW</t>
        </is>
      </c>
      <c r="L47" s="29" t="inlineStr">
        <is>
          <t>Bidirectional</t>
        </is>
      </c>
      <c r="M47" s="29" t="inlineStr">
        <is>
          <t>Port note: Port 5480 VAMI — bidirectional between all appliances and management components</t>
        </is>
      </c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8" customHeight="1" s="46">
      <c r="A48" s="27" t="inlineStr">
        <is>
          <t>VAMI-06</t>
        </is>
      </c>
      <c r="B48" s="35" t="inlineStr">
        <is>
          <t>SDDC Manager → All Appliances VAMI (5480)</t>
        </is>
      </c>
      <c r="C48" s="27" t="inlineStr">
        <is>
          <t>SDDC Manager</t>
        </is>
      </c>
      <c r="D48" s="27">
        <f>IFERROR(IF('IP Input Sheet'!D16&lt;&gt;"",'IP Input Sheet'!D16,IF('IP Input Sheet'!E16&lt;&gt;"",'IP Input Sheet'!E16,'IP Input Sheet'!F16)),"[Enter IP]")</f>
        <v/>
      </c>
      <c r="E48" s="27" t="inlineStr">
        <is>
          <t>All VCF Appliances (vCenter/NSX/VOL)</t>
        </is>
      </c>
      <c r="F48" s="27">
        <f>IFERROR(IF('IP Input Sheet'!D13&lt;&gt;"",'IP Input Sheet'!D13,IF('IP Input Sheet'!E13&lt;&gt;"",'IP Input Sheet'!E13,'IP Input Sheet'!F13)),"[Enter IP]")</f>
        <v/>
      </c>
      <c r="G48" s="27" t="inlineStr">
        <is>
          <t>5480</t>
        </is>
      </c>
      <c r="H48" s="27" t="inlineStr">
        <is>
          <t>TCP</t>
        </is>
      </c>
      <c r="I48" s="27" t="inlineStr">
        <is>
          <t>SDDC Mgr lifecycle — primary lifecycle manager for all VCF appliances via VAMI</t>
        </is>
      </c>
      <c r="J48" s="24" t="inlineStr">
        <is>
          <t>Allow</t>
        </is>
      </c>
      <c r="K48" s="28" t="inlineStr">
        <is>
          <t>Gateway FW</t>
        </is>
      </c>
      <c r="L48" s="27" t="inlineStr">
        <is>
          <t>Outbound</t>
        </is>
      </c>
      <c r="M48" s="27" t="inlineStr">
        <is>
          <t>Port note: Port 5480 — SDDC Mgr drives all appliance lifecycle via VAMI interface</t>
        </is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8" customHeight="1" s="46">
      <c r="A49" s="29" t="inlineStr">
        <is>
          <t>VAMI-07</t>
        </is>
      </c>
      <c r="B49" s="35" t="inlineStr">
        <is>
          <t>ESXi Hosts → vCenter VAMI (5480)</t>
        </is>
      </c>
      <c r="C49" s="29" t="inlineStr">
        <is>
          <t>ESXi Hosts (Mgmt Domain)</t>
        </is>
      </c>
      <c r="D49" s="29">
        <f>IFERROR(IF('IP Input Sheet'!D18&lt;&gt;"",'IP Input Sheet'!D18,IF('IP Input Sheet'!E18&lt;&gt;"",'IP Input Sheet'!E18,'IP Input Sheet'!F18)),"[Enter IP]")</f>
        <v/>
      </c>
      <c r="E49" s="29" t="inlineStr">
        <is>
          <t>vCenter Server (VAMI)</t>
        </is>
      </c>
      <c r="F49" s="29">
        <f>IFERROR(IF('IP Input Sheet'!D13&lt;&gt;"",'IP Input Sheet'!D13,IF('IP Input Sheet'!E13&lt;&gt;"",'IP Input Sheet'!E13,'IP Input Sheet'!F13)),"[Enter IP]")</f>
        <v/>
      </c>
      <c r="G49" s="29" t="inlineStr">
        <is>
          <t>5480</t>
        </is>
      </c>
      <c r="H49" s="29" t="inlineStr">
        <is>
          <t>TCP</t>
        </is>
      </c>
      <c r="I49" s="29" t="inlineStr">
        <is>
          <t>ESXi host provisioning and management traffic to vCenter VAMI</t>
        </is>
      </c>
      <c r="J49" s="24" t="inlineStr">
        <is>
          <t>Allow</t>
        </is>
      </c>
      <c r="K49" s="28" t="inlineStr">
        <is>
          <t>Gateway FW</t>
        </is>
      </c>
      <c r="L49" s="29" t="inlineStr">
        <is>
          <t>Outbound</t>
        </is>
      </c>
      <c r="M49" s="29" t="inlineStr">
        <is>
          <t>Port note: Port 5480 — ESXi hosts communicate with vCenter VAMI during provisioning</t>
        </is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8" customHeight="1" s="46">
      <c r="A50" s="27" t="inlineStr">
        <is>
          <t>SRM-03</t>
        </is>
      </c>
      <c r="B50" s="35" t="inlineStr">
        <is>
          <t>PSC/vCenter → SRM Listener (9086)</t>
        </is>
      </c>
      <c r="C50" s="27" t="inlineStr">
        <is>
          <t>PSC/vCenter (sfoMGMT-1-1-PSC1.test.net)</t>
        </is>
      </c>
      <c r="D50" s="27">
        <f>IFERROR(IF('IP Input Sheet'!D13&lt;&gt;"",'IP Input Sheet'!D13,IF('IP Input Sheet'!E13&lt;&gt;"",'IP Input Sheet'!E13,'IP Input Sheet'!F13)),"[Enter IP]")</f>
        <v/>
      </c>
      <c r="E50" s="27" t="inlineStr">
        <is>
          <t>SRM Listener (Local Host 192.168.188.1)</t>
        </is>
      </c>
      <c r="F50" s="27">
        <f>IFERROR(IF('IP Input Sheet'!D20&lt;&gt;"",'IP Input Sheet'!D20,IF('IP Input Sheet'!E20&lt;&gt;"",'IP Input Sheet'!E20,'IP Input Sheet'!F20)),"[Enter IP]")</f>
        <v/>
      </c>
      <c r="G50" s="27" t="inlineStr">
        <is>
          <t>9086</t>
        </is>
      </c>
      <c r="H50" s="27" t="inlineStr">
        <is>
          <t>TCP</t>
        </is>
      </c>
      <c r="I50" s="27" t="inlineStr">
        <is>
          <t>PSC SSO/vCenter registers with SRM for site protection on port 9086</t>
        </is>
      </c>
      <c r="J50" s="24" t="inlineStr">
        <is>
          <t>Allow</t>
        </is>
      </c>
      <c r="K50" s="28" t="inlineStr">
        <is>
          <t>Gateway FW</t>
        </is>
      </c>
      <c r="L50" s="27" t="inlineStr">
        <is>
          <t>Bidirectional</t>
        </is>
      </c>
      <c r="M50" s="27" t="inlineStr">
        <is>
          <t>Port note: PSC sfoMGMT-1-1-PSC1.test.net, admin=administrator@vsphere.local. Port 9086.</t>
        </is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8" customHeight="1" s="46">
      <c r="A51" s="29" t="inlineStr">
        <is>
          <t>SRM-04</t>
        </is>
      </c>
      <c r="B51" s="35" t="inlineStr">
        <is>
          <t>SRM → Remote Site vCenter (9086 outbound)</t>
        </is>
      </c>
      <c r="C51" s="29" t="inlineStr">
        <is>
          <t>SRM / vSphere Replication (M8)</t>
        </is>
      </c>
      <c r="D51" s="29">
        <f>IFERROR(IF('IP Input Sheet'!D20&lt;&gt;"",'IP Input Sheet'!D20,IF('IP Input Sheet'!E20&lt;&gt;"",'IP Input Sheet'!E20,'IP Input Sheet'!F20)),"[Enter IP]")</f>
        <v/>
      </c>
      <c r="E51" s="29" t="inlineStr">
        <is>
          <t>Remote Site vCenter / SRM</t>
        </is>
      </c>
      <c r="F51" s="29" t="inlineStr">
        <is>
          <t>[Remote vCenter IP]</t>
        </is>
      </c>
      <c r="G51" s="29" t="inlineStr">
        <is>
          <t>9086</t>
        </is>
      </c>
      <c r="H51" s="29" t="inlineStr">
        <is>
          <t>TCP</t>
        </is>
      </c>
      <c r="I51" s="29" t="inlineStr">
        <is>
          <t>SRM outbound — pairs with remote site for replication coordination and failover</t>
        </is>
      </c>
      <c r="J51" s="24" t="inlineStr">
        <is>
          <t>Allow</t>
        </is>
      </c>
      <c r="K51" s="28" t="inlineStr">
        <is>
          <t>Gateway FW</t>
        </is>
      </c>
      <c r="L51" s="29" t="inlineStr">
        <is>
          <t>Outbound</t>
        </is>
      </c>
      <c r="M51" s="29" t="inlineStr">
        <is>
          <t>Port note: Port 9086 outbound to remote site. Required for pair-site registration and DR.</t>
        </is>
      </c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8" customHeight="1" s="46">
      <c r="A52" s="27" t="inlineStr">
        <is>
          <t>FED-01</t>
        </is>
      </c>
      <c r="B52" s="27" t="inlineStr">
        <is>
          <t>NSX GM → LM  TCP 443  (Federation API + Mgmt Plane Sync)</t>
        </is>
      </c>
      <c r="C52" s="27" t="inlineStr">
        <is>
          <t>NSX Global Manager (M3)</t>
        </is>
      </c>
      <c r="D52" s="27">
        <f>IFERROR(IF('IP Input Sheet'!D15&lt;&gt;"",'IP Input Sheet'!D15,IF('IP Input Sheet'!E15&lt;&gt;"",'IP Input Sheet'!E15,'IP Input Sheet'!F15)),"[Enter IP]")</f>
        <v/>
      </c>
      <c r="E52" s="27" t="inlineStr">
        <is>
          <t>NSX Local Manager (M2)</t>
        </is>
      </c>
      <c r="F52" s="27">
        <f>IFERROR(IF('IP Input Sheet'!D14&lt;&gt;"",'IP Input Sheet'!D14,IF('IP Input Sheet'!E14&lt;&gt;"",'IP Input Sheet'!E14,'IP Input Sheet'!F14)),"[Enter IP]")</f>
        <v/>
      </c>
      <c r="G52" s="27" t="inlineStr">
        <is>
          <t>443</t>
        </is>
      </c>
      <c r="H52" s="27" t="inlineStr">
        <is>
          <t>TCP</t>
        </is>
      </c>
      <c r="I52" s="27" t="inlineStr">
        <is>
          <t>NSX Federation — API &amp; Management Plane Synchronisation GM↔LM</t>
        </is>
      </c>
      <c r="J52" s="24" t="inlineStr">
        <is>
          <t>Allow</t>
        </is>
      </c>
      <c r="K52" s="28" t="inlineStr">
        <is>
          <t>Gateway FW</t>
        </is>
      </c>
      <c r="L52" s="27" t="inlineStr">
        <is>
          <t>Bidirectional</t>
        </is>
      </c>
      <c r="M52" s="27" t="inlineStr">
        <is>
          <t>NSX team: Federation port. GM pushes policy to LM. Required per AZ. Bidirectional.</t>
        </is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8" customHeight="1" s="46">
      <c r="A53" s="29" t="inlineStr">
        <is>
          <t>FED-02</t>
        </is>
      </c>
      <c r="B53" s="35" t="inlineStr">
        <is>
          <t>NSX GM → LM  TCP 1236  ⚠️ NEWLY WHITELISTED</t>
        </is>
      </c>
      <c r="C53" s="29" t="inlineStr">
        <is>
          <t>NSX Global Manager (M3)</t>
        </is>
      </c>
      <c r="D53" s="29">
        <f>IFERROR(IF('IP Input Sheet'!D15&lt;&gt;"",'IP Input Sheet'!D15,IF('IP Input Sheet'!E15&lt;&gt;"",'IP Input Sheet'!E15,'IP Input Sheet'!F15)),"[Enter IP]")</f>
        <v/>
      </c>
      <c r="E53" s="29" t="inlineStr">
        <is>
          <t>NSX Local Manager (M2)</t>
        </is>
      </c>
      <c r="F53" s="29">
        <f>IFERROR(IF('IP Input Sheet'!D14&lt;&gt;"",'IP Input Sheet'!D14,IF('IP Input Sheet'!E14&lt;&gt;"",'IP Input Sheet'!E14,'IP Input Sheet'!F14)),"[Enter IP]")</f>
        <v/>
      </c>
      <c r="G53" s="29" t="inlineStr">
        <is>
          <t>1236</t>
        </is>
      </c>
      <c r="H53" s="29" t="inlineStr">
        <is>
          <t>TCP</t>
        </is>
      </c>
      <c r="I53" s="29" t="inlineStr">
        <is>
          <t>NSX Federation — Async Replication. Core engine pushing Global config GM→LM. WAS MISSING.</t>
        </is>
      </c>
      <c r="J53" s="24" t="inlineStr">
        <is>
          <t>Allow</t>
        </is>
      </c>
      <c r="K53" s="28" t="inlineStr">
        <is>
          <t>Gateway FW</t>
        </is>
      </c>
      <c r="L53" s="29" t="inlineStr">
        <is>
          <t>Bidirectional</t>
        </is>
      </c>
      <c r="M53" s="29" t="inlineStr">
        <is>
          <t>NSX Federation note: TCP 1236 WAS MISSING — added 23/03/2026. Whitelist immediately on Gateway Firewall.</t>
        </is>
      </c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46">
      <c r="A54" s="27" t="inlineStr">
        <is>
          <t>FED-03</t>
        </is>
      </c>
      <c r="B54" s="27" t="inlineStr">
        <is>
          <t>NSX Edge → Remote Edge  TCP 179  (Inter-SR BGP)</t>
        </is>
      </c>
      <c r="C54" s="27" t="inlineStr">
        <is>
          <t>NSX Edge Node (local SR)</t>
        </is>
      </c>
      <c r="D54" s="27">
        <f>IFERROR(IF('IP Input Sheet'!D22&lt;&gt;"",'IP Input Sheet'!D22,IF('IP Input Sheet'!E22&lt;&gt;"",'IP Input Sheet'!E22,'IP Input Sheet'!F22)),"[Enter IP]")</f>
        <v/>
      </c>
      <c r="E54" s="27" t="inlineStr">
        <is>
          <t>NSX Remote Edge Node (peer AZ)</t>
        </is>
      </c>
      <c r="F54" s="27">
        <f>IFERROR(IF('IP Input Sheet'!D26&lt;&gt;"",'IP Input Sheet'!D26,IF('IP Input Sheet'!E26&lt;&gt;"",'IP Input Sheet'!E26,'IP Input Sheet'!F26)),"[Enter IP]")</f>
        <v/>
      </c>
      <c r="G54" s="27" t="inlineStr">
        <is>
          <t>179</t>
        </is>
      </c>
      <c r="H54" s="27" t="inlineStr">
        <is>
          <t>TCP</t>
        </is>
      </c>
      <c r="I54" s="27" t="inlineStr">
        <is>
          <t>NSX Federation — Inter-Site BGP between Service Routers across AZs. Routing updates between locations.</t>
        </is>
      </c>
      <c r="J54" s="24" t="inlineStr">
        <is>
          <t>Allow</t>
        </is>
      </c>
      <c r="K54" s="28" t="inlineStr">
        <is>
          <t>Gateway FW</t>
        </is>
      </c>
      <c r="L54" s="27" t="inlineStr">
        <is>
          <t>Bidirectional</t>
        </is>
      </c>
      <c r="M54" s="27" t="inlineStr">
        <is>
          <t>NSX Federation note: Inter-SR BGP — distinct from Edge→ToR BGP (BGP-01 to BGP-08). Cross-AZ SR routing.</t>
        </is>
      </c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" customHeight="1" s="46">
      <c r="A55" s="29" t="inlineStr">
        <is>
          <t>FED-04</t>
        </is>
      </c>
      <c r="B55" s="29" t="inlineStr">
        <is>
          <t>NSX Edge → Remote Edge  UDP 6081  (GENEVE cross-AZ RTEP)</t>
        </is>
      </c>
      <c r="C55" s="29" t="inlineStr">
        <is>
          <t>NSX Edge RTEP (local)</t>
        </is>
      </c>
      <c r="D55" s="29">
        <f>IFERROR(IF('IP Input Sheet'!D31&lt;&gt;"",'IP Input Sheet'!D31,IF('IP Input Sheet'!E31&lt;&gt;"",'IP Input Sheet'!E31,'IP Input Sheet'!F31)),"[Enter IP]")</f>
        <v/>
      </c>
      <c r="E55" s="29" t="inlineStr">
        <is>
          <t>NSX Remote Edge RTEP (peer AZ)</t>
        </is>
      </c>
      <c r="F55" s="29">
        <f>IFERROR(IF('IP Input Sheet'!D31&lt;&gt;"",'IP Input Sheet'!D31,IF('IP Input Sheet'!E31&lt;&gt;"",'IP Input Sheet'!E31,'IP Input Sheet'!F31)),"[Enter IP]")</f>
        <v/>
      </c>
      <c r="G55" s="29" t="inlineStr">
        <is>
          <t>6081</t>
        </is>
      </c>
      <c r="H55" s="29" t="inlineStr">
        <is>
          <t>UDP</t>
        </is>
      </c>
      <c r="I55" s="29" t="inlineStr">
        <is>
          <t>NSX Federation — GENEVE overlay for stretched logical segments via RTEP VLAN 2605. MTU 1700+ required.</t>
        </is>
      </c>
      <c r="J55" s="24" t="inlineStr">
        <is>
          <t>Allow</t>
        </is>
      </c>
      <c r="K55" s="28" t="inlineStr">
        <is>
          <t>Gateway FW</t>
        </is>
      </c>
      <c r="L55" s="29" t="inlineStr">
        <is>
          <t>Bidirectional</t>
        </is>
      </c>
      <c r="M55" s="29" t="inlineStr">
        <is>
          <t>NSX Federation note: RTEP GENEVE — also covered in TEP-03. Explicit Federation label added.</t>
        </is>
      </c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" customHeight="1" s="46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" customHeight="1" s="46">
      <c r="A57" s="13" t="n"/>
      <c r="B57" s="13" t="inlineStr">
        <is>
          <t>🔷  VMware Live Recovery (VLR) Rules  —  Inbound / Reverse</t>
        </is>
      </c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" customHeight="1" s="46">
      <c r="A58" s="23" t="inlineStr">
        <is>
          <t>LVR-09</t>
        </is>
      </c>
      <c r="B58" s="23" t="inlineStr">
        <is>
          <t>vCenter → VLR (HTTPS)</t>
        </is>
      </c>
      <c r="C58" s="23" t="inlineStr">
        <is>
          <t>vCenter Server</t>
        </is>
      </c>
      <c r="D58" s="23">
        <f>IFERROR(IF('IP Input Sheet'!D13&lt;&gt;"",'IP Input Sheet'!D13,IF('IP Input Sheet'!E13&lt;&gt;"",'IP Input Sheet'!E13,'IP Input Sheet'!F13)),"[Enter IP]")</f>
        <v/>
      </c>
      <c r="E58" s="23" t="inlineStr">
        <is>
          <t>VMware Live Recovery (VLR)</t>
        </is>
      </c>
      <c r="F58" s="23">
        <f>IFERROR(IF('IP Input Sheet'!D20&lt;&gt;"",'IP Input Sheet'!D20,IF('IP Input Sheet'!E20&lt;&gt;"",'IP Input Sheet'!E20,'IP Input Sheet'!F20)),"[Enter IP]")</f>
        <v/>
      </c>
      <c r="G58" s="23" t="inlineStr">
        <is>
          <t>443</t>
        </is>
      </c>
      <c r="H58" s="23" t="inlineStr">
        <is>
          <t>TCP</t>
        </is>
      </c>
      <c r="I58" s="23" t="inlineStr">
        <is>
          <t>vCenter → VLR management</t>
        </is>
      </c>
      <c r="J58" s="24" t="inlineStr">
        <is>
          <t>Allow</t>
        </is>
      </c>
      <c r="K58" s="25" t="inlineStr">
        <is>
          <t>Gateway FW</t>
        </is>
      </c>
      <c r="L58" s="23" t="inlineStr">
        <is>
          <t>Outbound</t>
        </is>
      </c>
      <c r="M58" s="23" t="inlineStr">
        <is>
          <t>CF row 151 — vCenter reverse comms to VLR for site pair + recovery</t>
        </is>
      </c>
      <c r="N58" s="13" t="inlineStr">
        <is>
          <t>CF row 151 — vCenter Server registration back to VLR</t>
        </is>
      </c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46">
      <c r="A59" s="23" t="inlineStr">
        <is>
          <t>LVR-10</t>
        </is>
      </c>
      <c r="B59" s="23" t="inlineStr">
        <is>
          <t>vCenter → VLR VAMI (5480)</t>
        </is>
      </c>
      <c r="C59" s="23" t="inlineStr">
        <is>
          <t>vCenter Server</t>
        </is>
      </c>
      <c r="D59" s="23">
        <f>IFERROR(IF('IP Input Sheet'!D13&lt;&gt;"",'IP Input Sheet'!D13,IF('IP Input Sheet'!E13&lt;&gt;"",'IP Input Sheet'!E13,'IP Input Sheet'!F13)),"[Enter IP]")</f>
        <v/>
      </c>
      <c r="E59" s="23" t="inlineStr">
        <is>
          <t>VMware Live Recovery (VLR)</t>
        </is>
      </c>
      <c r="F59" s="23">
        <f>IFERROR(IF('IP Input Sheet'!D20&lt;&gt;"",'IP Input Sheet'!D20,IF('IP Input Sheet'!E20&lt;&gt;"",'IP Input Sheet'!E20,'IP Input Sheet'!F20)),"[Enter IP]")</f>
        <v/>
      </c>
      <c r="G59" s="23" t="inlineStr">
        <is>
          <t>5480</t>
        </is>
      </c>
      <c r="H59" s="23" t="inlineStr">
        <is>
          <t>TCP</t>
        </is>
      </c>
      <c r="I59" s="23" t="inlineStr">
        <is>
          <t>VAMI bidirectional</t>
        </is>
      </c>
      <c r="J59" s="24" t="inlineStr">
        <is>
          <t>Allow</t>
        </is>
      </c>
      <c r="K59" s="25" t="inlineStr">
        <is>
          <t>Gateway FW</t>
        </is>
      </c>
      <c r="L59" s="23" t="inlineStr">
        <is>
          <t>Outbound</t>
        </is>
      </c>
      <c r="M59" s="23" t="inlineStr">
        <is>
          <t>CF row 119 — VAMI management interface bidirectional</t>
        </is>
      </c>
      <c r="N59" s="13" t="inlineStr">
        <is>
          <t>CF row 119 — VAMI management interface bidirectional</t>
        </is>
      </c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46">
      <c r="A60" s="23" t="inlineStr">
        <is>
          <t>LVR-11</t>
        </is>
      </c>
      <c r="B60" s="23" t="inlineStr">
        <is>
          <t>ESXi → VLR Heartbeat (902)</t>
        </is>
      </c>
      <c r="C60" s="23" t="inlineStr">
        <is>
          <t>ESXi Hosts (Mgmt Domain)</t>
        </is>
      </c>
      <c r="D60" s="23">
        <f>IFERROR(IF('IP Input Sheet'!D18&lt;&gt;"",'IP Input Sheet'!D18,IF('IP Input Sheet'!E18&lt;&gt;"",'IP Input Sheet'!E18,'IP Input Sheet'!F18)),"[Enter IP]")</f>
        <v/>
      </c>
      <c r="E60" s="23" t="inlineStr">
        <is>
          <t>VMware Live Recovery (VLR)</t>
        </is>
      </c>
      <c r="F60" s="23">
        <f>IFERROR(IF('IP Input Sheet'!D20&lt;&gt;"",'IP Input Sheet'!D20,IF('IP Input Sheet'!E20&lt;&gt;"",'IP Input Sheet'!E20,'IP Input Sheet'!F20)),"[Enter IP]")</f>
        <v/>
      </c>
      <c r="G60" s="23" t="inlineStr">
        <is>
          <t>902</t>
        </is>
      </c>
      <c r="H60" s="23" t="inlineStr">
        <is>
          <t>TCP/UDP</t>
        </is>
      </c>
      <c r="I60" s="23" t="inlineStr">
        <is>
          <t>Heartbeat reverse</t>
        </is>
      </c>
      <c r="J60" s="24" t="inlineStr">
        <is>
          <t>Allow</t>
        </is>
      </c>
      <c r="K60" s="25" t="inlineStr">
        <is>
          <t>Gateway FW</t>
        </is>
      </c>
      <c r="L60" s="23" t="inlineStr">
        <is>
          <t>Bidirectional</t>
        </is>
      </c>
      <c r="M60" s="23" t="inlineStr">
        <is>
          <t>CF row 165 — ESXi VMkernel heartbeat reverse to VLR</t>
        </is>
      </c>
      <c r="N60" s="13" t="inlineStr">
        <is>
          <t>CF row 175 — vSphere Replication VMkernel reverse traffic</t>
        </is>
      </c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46">
      <c r="A61" s="23" t="inlineStr">
        <is>
          <t>LVR-12</t>
        </is>
      </c>
      <c r="B61" s="23" t="inlineStr">
        <is>
          <t>ESXi → VLR NFC (8043)</t>
        </is>
      </c>
      <c r="C61" s="23" t="inlineStr">
        <is>
          <t>ESXi Hosts (Mgmt Domain)</t>
        </is>
      </c>
      <c r="D61" s="23">
        <f>IFERROR(IF('IP Input Sheet'!D18&lt;&gt;"",'IP Input Sheet'!D18,IF('IP Input Sheet'!E18&lt;&gt;"",'IP Input Sheet'!E18,'IP Input Sheet'!F18)),"[Enter IP]")</f>
        <v/>
      </c>
      <c r="E61" s="23" t="inlineStr">
        <is>
          <t>VMware Live Recovery (VLR)</t>
        </is>
      </c>
      <c r="F61" s="23">
        <f>IFERROR(IF('IP Input Sheet'!D20&lt;&gt;"",'IP Input Sheet'!D20,IF('IP Input Sheet'!E20&lt;&gt;"",'IP Input Sheet'!E20,'IP Input Sheet'!F20)),"[Enter IP]")</f>
        <v/>
      </c>
      <c r="G61" s="23" t="inlineStr">
        <is>
          <t>8043</t>
        </is>
      </c>
      <c r="H61" s="23" t="inlineStr">
        <is>
          <t>TCP</t>
        </is>
      </c>
      <c r="I61" s="23" t="inlineStr">
        <is>
          <t>vSphere Replication NFC reverse</t>
        </is>
      </c>
      <c r="J61" s="24" t="inlineStr">
        <is>
          <t>Allow</t>
        </is>
      </c>
      <c r="K61" s="25" t="inlineStr">
        <is>
          <t>Gateway FW</t>
        </is>
      </c>
      <c r="L61" s="23" t="inlineStr">
        <is>
          <t>Outbound</t>
        </is>
      </c>
      <c r="M61" s="23" t="inlineStr">
        <is>
          <t>CF row 175 — vSphere Replication VMkernel reverse traffic</t>
        </is>
      </c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46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46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46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46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46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46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46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46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46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46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46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46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46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46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46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46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46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46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46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46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46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46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46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46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46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46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46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46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46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46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46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46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46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46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46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46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46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46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46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46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46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46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46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46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46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46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46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46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46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46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46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46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46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46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46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46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46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46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46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46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46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46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46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46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46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46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46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46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46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46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46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46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46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46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46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46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46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46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46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46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46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46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46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46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46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46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46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46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46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46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46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46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46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46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46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46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46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46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46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46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46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46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46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46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46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46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46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46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46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46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46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46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46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46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46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46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46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46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46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46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46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46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46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46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46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46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46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46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46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46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46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46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46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46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46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46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46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46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46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46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46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46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46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46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46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46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46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46">
      <c r="A209" s="13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46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46">
      <c r="A211" s="13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46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46">
      <c r="A213" s="13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46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46">
      <c r="A215" s="13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46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46">
      <c r="A217" s="13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46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46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46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46">
      <c r="A221" s="13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46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46">
      <c r="A223" s="13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46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46">
      <c r="A225" s="13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46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46">
      <c r="A227" s="13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46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46">
      <c r="A229" s="13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46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46">
      <c r="A231" s="13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46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46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46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46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46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46">
      <c r="A237" s="13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46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46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46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46">
      <c r="A241" s="13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46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46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46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46">
      <c r="A245" s="13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46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46">
      <c r="A247" s="13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46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46">
      <c r="A249" s="13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46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46">
      <c r="A251" s="13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46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46">
      <c r="A253" s="13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46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46">
      <c r="A255" s="13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46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46">
      <c r="A257" s="13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46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46">
      <c r="A259" s="13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46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46">
      <c r="A261" s="13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46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46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46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46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4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46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46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46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46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46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46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46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46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46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4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46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46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46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46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46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46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46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46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46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4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46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46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46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46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46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46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46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46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46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4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46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46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46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46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46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46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46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46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46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4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46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46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46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46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46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46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46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46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46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4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46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46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46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46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46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46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46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46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46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4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46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46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46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46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46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46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46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46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46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4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46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46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46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46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46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46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46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46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46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46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46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46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46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46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46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46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46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46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4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46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46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46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46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46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46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46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46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46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4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46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46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46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46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46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46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46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46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46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4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46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46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46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46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46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46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46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46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46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4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46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46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46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46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46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46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46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46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46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4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46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46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46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46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46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46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46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46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46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4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46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46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46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46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46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46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46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46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46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4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46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46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46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46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46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46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46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46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46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4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46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46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46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46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46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46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46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46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46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4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46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46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46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46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46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46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46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46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46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46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46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46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46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46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46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46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46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46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4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46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46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46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46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46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46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46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46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46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4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46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46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46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46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46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46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46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46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46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4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46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46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46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46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46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46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46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46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46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4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46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46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46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46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46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46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46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46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46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4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46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46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46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46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46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46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46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46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46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4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46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46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46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46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46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46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46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46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46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4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46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46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46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46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46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46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46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46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46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4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46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46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46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46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46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46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46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46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46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4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46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46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46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46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46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46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46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46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46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4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46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46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46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46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46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46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46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46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46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4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46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46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46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46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46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46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46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46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46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4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46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46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46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46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46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46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46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46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46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4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46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46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46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46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46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46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46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46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46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4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46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46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46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46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46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46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46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46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46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4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46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46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46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46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46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46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46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46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46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4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46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46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46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46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46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46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46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46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46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4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46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46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46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46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46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46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46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46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46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4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46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46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46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46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46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46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46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46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46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4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46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46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46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46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46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46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46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46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46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4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46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46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46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46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46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46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46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46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46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4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46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46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46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46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46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46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46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46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46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4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46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46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46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46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46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46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46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46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46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4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46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46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46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46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46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46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46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46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46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4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46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46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46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46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46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46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46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46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46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4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46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46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46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46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46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46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46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46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46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4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46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46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46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46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46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46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46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46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46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4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46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46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46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46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46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46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46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46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46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4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46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46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46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46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46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46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46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46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46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4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46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46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46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46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46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46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46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46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46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4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46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46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46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46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46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46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46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46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46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4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46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46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46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46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46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46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46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46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46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4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46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46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46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46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46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46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46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46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46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4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46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46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46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46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46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46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46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46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46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4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46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46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46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46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46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46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46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46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46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4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46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46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46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46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46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46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46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46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46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4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46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46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46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46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46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46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46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46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46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4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46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46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46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46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46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46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46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46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46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4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46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46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46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46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46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46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46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46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46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4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46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46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46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46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46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46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46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46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46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4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46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46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46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46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46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46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46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46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46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4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46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46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46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46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46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46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46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46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46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4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46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46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46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46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46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46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46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46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46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4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46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46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46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46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46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46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46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46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46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4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46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46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46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46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46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46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46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46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46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4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46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46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46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46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46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46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46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46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46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4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46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46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46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46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46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46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46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46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46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4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46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46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46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46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46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46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46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46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46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4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46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46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46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46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46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46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46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46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46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4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46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46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46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46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46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46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46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46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46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4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46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46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46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46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46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46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46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46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46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4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46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46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46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46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46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46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46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46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46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4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46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46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46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46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46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46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46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46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46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4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46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46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46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46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46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46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46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46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46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4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46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46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46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46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46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46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46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46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46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4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46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46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46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46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  <row r="1001">
      <c r="A1001" s="4" t="n"/>
      <c r="B1001" s="4" t="n"/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  <c r="P1001" s="4" t="n"/>
      <c r="Q1001" s="4" t="n"/>
      <c r="R1001" s="4" t="n"/>
      <c r="S1001" s="4" t="n"/>
      <c r="T1001" s="4" t="n"/>
      <c r="U1001" s="4" t="n"/>
      <c r="V1001" s="4" t="n"/>
      <c r="W1001" s="4" t="n"/>
      <c r="X1001" s="4" t="n"/>
      <c r="Y1001" s="4" t="n"/>
      <c r="Z1001" s="4" t="n"/>
    </row>
    <row r="1002">
      <c r="A1002" s="4" t="n"/>
      <c r="B1002" s="4" t="n"/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  <c r="P1002" s="4" t="n"/>
      <c r="Q1002" s="4" t="n"/>
      <c r="R1002" s="4" t="n"/>
      <c r="S1002" s="4" t="n"/>
      <c r="T1002" s="4" t="n"/>
      <c r="U1002" s="4" t="n"/>
      <c r="V1002" s="4" t="n"/>
      <c r="W1002" s="4" t="n"/>
      <c r="X1002" s="4" t="n"/>
      <c r="Y1002" s="4" t="n"/>
      <c r="Z1002" s="4" t="n"/>
    </row>
  </sheetData>
  <mergeCells count="3">
    <mergeCell ref="A38:M38"/>
    <mergeCell ref="A2:M2"/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FF9900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000030517578" defaultRowHeight="15"/>
  <cols>
    <col width="7" customWidth="1" style="46" min="1" max="1"/>
    <col width="32" customWidth="1" style="46" min="2" max="2"/>
    <col width="28" customWidth="1" style="46" min="3" max="3"/>
    <col width="24" customWidth="1" style="46" min="4" max="4"/>
    <col width="28" customWidth="1" style="46" min="5" max="5"/>
    <col width="24" customWidth="1" style="46" min="6" max="6"/>
    <col width="14" customWidth="1" style="46" min="7" max="7"/>
    <col width="10" customWidth="1" style="46" min="8" max="8"/>
    <col width="34" customWidth="1" style="46" min="9" max="9"/>
    <col width="8" customWidth="1" style="46" min="10" max="10"/>
    <col width="14" customWidth="1" style="46" min="11" max="12"/>
    <col width="42" customWidth="1" style="46" min="13" max="13"/>
  </cols>
  <sheetData>
    <row r="1" ht="27.75" customHeight="1" s="46">
      <c r="A1" s="52" t="inlineStr">
        <is>
          <t>AES-220  |  Firewall Rules  |  Fleet → External Services</t>
        </is>
      </c>
      <c r="B1" s="48" t="n"/>
      <c r="C1" s="48" t="n"/>
      <c r="D1" s="48" t="n"/>
      <c r="E1" s="48" t="n"/>
      <c r="F1" s="48" t="n"/>
      <c r="G1" s="48" t="n"/>
      <c r="H1" s="48" t="n"/>
      <c r="I1" s="48" t="n"/>
      <c r="J1" s="48" t="n"/>
      <c r="K1" s="48" t="n"/>
      <c r="L1" s="48" t="n"/>
      <c r="M1" s="48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8" customHeight="1" s="46">
      <c r="A2" s="49" t="inlineStr">
        <is>
          <t>Source IP and Destination IP auto-populate from '📋 IP Input Sheet'.  Fill in IPs there first.</t>
        </is>
      </c>
      <c r="B2" s="48" t="n"/>
      <c r="C2" s="48" t="n"/>
      <c r="D2" s="48" t="n"/>
      <c r="E2" s="48" t="n"/>
      <c r="F2" s="48" t="n"/>
      <c r="G2" s="48" t="n"/>
      <c r="H2" s="48" t="n"/>
      <c r="I2" s="48" t="n"/>
      <c r="J2" s="48" t="n"/>
      <c r="K2" s="48" t="n"/>
      <c r="L2" s="48" t="n"/>
      <c r="M2" s="48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27.75" customHeight="1" s="46">
      <c r="A3" s="6" t="inlineStr">
        <is>
          <t>#</t>
        </is>
      </c>
      <c r="B3" s="6" t="inlineStr">
        <is>
          <t>Rule Name</t>
        </is>
      </c>
      <c r="C3" s="6" t="inlineStr">
        <is>
          <t>Source Component</t>
        </is>
      </c>
      <c r="D3" s="6" t="inlineStr">
        <is>
          <t>Source IP / Subnet</t>
        </is>
      </c>
      <c r="E3" s="6" t="inlineStr">
        <is>
          <t>Destination Component</t>
        </is>
      </c>
      <c r="F3" s="6" t="inlineStr">
        <is>
          <t>Destination IP / Subnet</t>
        </is>
      </c>
      <c r="G3" s="6" t="inlineStr">
        <is>
          <t>Port</t>
        </is>
      </c>
      <c r="H3" s="6" t="inlineStr">
        <is>
          <t>Protocol</t>
        </is>
      </c>
      <c r="I3" s="6" t="inlineStr">
        <is>
          <t>Service / Application</t>
        </is>
      </c>
      <c r="J3" s="6" t="inlineStr">
        <is>
          <t>Action</t>
        </is>
      </c>
      <c r="K3" s="6" t="inlineStr">
        <is>
          <t>Firewall Type</t>
        </is>
      </c>
      <c r="L3" s="6" t="inlineStr">
        <is>
          <t>Flow Direction</t>
        </is>
      </c>
      <c r="M3" s="6" t="inlineStr">
        <is>
          <t>Notes</t>
        </is>
      </c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8" customHeight="1" s="46">
      <c r="A4" s="23" t="inlineStr">
        <is>
          <t>EX-01</t>
        </is>
      </c>
      <c r="B4" s="23" t="inlineStr">
        <is>
          <t>Fleet Mgr → DNS</t>
        </is>
      </c>
      <c r="C4" s="23" t="inlineStr">
        <is>
          <t>VCF Operations Fleet Manager</t>
        </is>
      </c>
      <c r="D4" s="23">
        <f>IFERROR(IF('IP Input Sheet'!D5&lt;&gt;"",'IP Input Sheet'!D5,IF('IP Input Sheet'!E5&lt;&gt;"",'IP Input Sheet'!E5,'IP Input Sheet'!F5)),"[Enter IP]")</f>
        <v/>
      </c>
      <c r="E4" s="23" t="inlineStr">
        <is>
          <t>DNS Server</t>
        </is>
      </c>
      <c r="F4" s="23">
        <f>'IP Input Sheet'!D60</f>
        <v/>
      </c>
      <c r="G4" s="23" t="inlineStr">
        <is>
          <t>53</t>
        </is>
      </c>
      <c r="H4" s="23" t="inlineStr">
        <is>
          <t>TCP/UDP</t>
        </is>
      </c>
      <c r="I4" s="23" t="inlineStr">
        <is>
          <t>Name resolution</t>
        </is>
      </c>
      <c r="J4" s="24" t="inlineStr">
        <is>
          <t>Allow</t>
        </is>
      </c>
      <c r="K4" s="25" t="inlineStr">
        <is>
          <t>Gateway FW</t>
        </is>
      </c>
      <c r="L4" s="23" t="inlineStr">
        <is>
          <t>Bidirectional</t>
        </is>
      </c>
      <c r="M4" s="23" t="inlineStr">
        <is>
          <t>All Fleet+VCF components</t>
        </is>
      </c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8" customHeight="1" s="46">
      <c r="A5" s="26" t="inlineStr">
        <is>
          <t>EX-02</t>
        </is>
      </c>
      <c r="B5" s="26" t="inlineStr">
        <is>
          <t>Fleet Mgr → NTP</t>
        </is>
      </c>
      <c r="C5" s="26" t="inlineStr">
        <is>
          <t>VCF Operations Fleet Manager</t>
        </is>
      </c>
      <c r="D5" s="26">
        <f>IFERROR(IF('IP Input Sheet'!D5&lt;&gt;"",'IP Input Sheet'!D5,IF('IP Input Sheet'!E5&lt;&gt;"",'IP Input Sheet'!E5,'IP Input Sheet'!F5)),"[Enter IP]")</f>
        <v/>
      </c>
      <c r="E5" s="26" t="inlineStr">
        <is>
          <t>NTP Server</t>
        </is>
      </c>
      <c r="F5" s="26">
        <f>'IP Input Sheet'!D61</f>
        <v/>
      </c>
      <c r="G5" s="26" t="inlineStr">
        <is>
          <t>123</t>
        </is>
      </c>
      <c r="H5" s="26" t="inlineStr">
        <is>
          <t>UDP</t>
        </is>
      </c>
      <c r="I5" s="26" t="inlineStr">
        <is>
          <t>Time sync</t>
        </is>
      </c>
      <c r="J5" s="24" t="inlineStr">
        <is>
          <t>Allow</t>
        </is>
      </c>
      <c r="K5" s="25" t="inlineStr">
        <is>
          <t>Gateway FW</t>
        </is>
      </c>
      <c r="L5" s="26" t="inlineStr">
        <is>
          <t>Outbound</t>
        </is>
      </c>
      <c r="M5" s="26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8" customHeight="1" s="46">
      <c r="A6" s="23" t="inlineStr">
        <is>
          <t>EX-03</t>
        </is>
      </c>
      <c r="B6" s="23" t="inlineStr">
        <is>
          <t>VCFO → DNS</t>
        </is>
      </c>
      <c r="C6" s="23" t="inlineStr">
        <is>
          <t>VCF Operations (VCFO)</t>
        </is>
      </c>
      <c r="D6" s="23">
        <f>IFERROR(IF('IP Input Sheet'!D6&lt;&gt;"",'IP Input Sheet'!D6,IF('IP Input Sheet'!E6&lt;&gt;"",'IP Input Sheet'!E6,'IP Input Sheet'!F6)),"[Enter IP]")</f>
        <v/>
      </c>
      <c r="E6" s="23" t="inlineStr">
        <is>
          <t>DNS Server</t>
        </is>
      </c>
      <c r="F6" s="23">
        <f>'IP Input Sheet'!D60</f>
        <v/>
      </c>
      <c r="G6" s="23" t="inlineStr">
        <is>
          <t>53</t>
        </is>
      </c>
      <c r="H6" s="23" t="inlineStr">
        <is>
          <t>TCP/UDP</t>
        </is>
      </c>
      <c r="I6" s="23" t="inlineStr">
        <is>
          <t>DNS</t>
        </is>
      </c>
      <c r="J6" s="24" t="inlineStr">
        <is>
          <t>Allow</t>
        </is>
      </c>
      <c r="K6" s="25" t="inlineStr">
        <is>
          <t>Gateway FW</t>
        </is>
      </c>
      <c r="L6" s="23" t="inlineStr">
        <is>
          <t>Outbound</t>
        </is>
      </c>
      <c r="M6" s="23" t="inlineStr">
        <is>
          <t>Primary/Replica/Data nodes</t>
        </is>
      </c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8" customHeight="1" s="46">
      <c r="A7" s="26" t="inlineStr">
        <is>
          <t>EX-04</t>
        </is>
      </c>
      <c r="B7" s="26" t="inlineStr">
        <is>
          <t>VCFO → NTP</t>
        </is>
      </c>
      <c r="C7" s="26" t="inlineStr">
        <is>
          <t>VCF Operations (VCFO)</t>
        </is>
      </c>
      <c r="D7" s="26">
        <f>IFERROR(IF('IP Input Sheet'!D6&lt;&gt;"",'IP Input Sheet'!D6,IF('IP Input Sheet'!E6&lt;&gt;"",'IP Input Sheet'!E6,'IP Input Sheet'!F6)),"[Enter IP]")</f>
        <v/>
      </c>
      <c r="E7" s="26" t="inlineStr">
        <is>
          <t>NTP Server</t>
        </is>
      </c>
      <c r="F7" s="26">
        <f>'IP Input Sheet'!D61</f>
        <v/>
      </c>
      <c r="G7" s="26" t="inlineStr">
        <is>
          <t>123</t>
        </is>
      </c>
      <c r="H7" s="26" t="inlineStr">
        <is>
          <t>UDP</t>
        </is>
      </c>
      <c r="I7" s="26" t="inlineStr">
        <is>
          <t>Time sync</t>
        </is>
      </c>
      <c r="J7" s="24" t="inlineStr">
        <is>
          <t>Allow</t>
        </is>
      </c>
      <c r="K7" s="25" t="inlineStr">
        <is>
          <t>Gateway FW</t>
        </is>
      </c>
      <c r="L7" s="26" t="inlineStr">
        <is>
          <t>Outbound</t>
        </is>
      </c>
      <c r="M7" s="26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8" customHeight="1" s="46">
      <c r="A8" s="23" t="inlineStr">
        <is>
          <t>EX-05</t>
        </is>
      </c>
      <c r="B8" s="23" t="inlineStr">
        <is>
          <t>VCFO → LDAP</t>
        </is>
      </c>
      <c r="C8" s="23" t="inlineStr">
        <is>
          <t>VCF Operations (VCFO)</t>
        </is>
      </c>
      <c r="D8" s="23">
        <f>IFERROR(IF('IP Input Sheet'!D6&lt;&gt;"",'IP Input Sheet'!D6,IF('IP Input Sheet'!E6&lt;&gt;"",'IP Input Sheet'!E6,'IP Input Sheet'!F6)),"[Enter IP]")</f>
        <v/>
      </c>
      <c r="E8" s="23" t="inlineStr">
        <is>
          <t>AD/LDAP Server</t>
        </is>
      </c>
      <c r="F8" s="23" t="n"/>
      <c r="G8" s="23" t="inlineStr">
        <is>
          <t>389</t>
        </is>
      </c>
      <c r="H8" s="23" t="inlineStr">
        <is>
          <t>TCP</t>
        </is>
      </c>
      <c r="I8" s="23" t="inlineStr">
        <is>
          <t>LDAP directory</t>
        </is>
      </c>
      <c r="J8" s="24" t="inlineStr">
        <is>
          <t>Allow</t>
        </is>
      </c>
      <c r="K8" s="25" t="inlineStr">
        <is>
          <t>Gateway FW</t>
        </is>
      </c>
      <c r="L8" s="23" t="inlineStr">
        <is>
          <t>Outbound</t>
        </is>
      </c>
      <c r="M8" s="23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8" customHeight="1" s="46">
      <c r="A9" s="26" t="inlineStr">
        <is>
          <t>EX-06</t>
        </is>
      </c>
      <c r="B9" s="26" t="inlineStr">
        <is>
          <t>VCFO → LDAPS</t>
        </is>
      </c>
      <c r="C9" s="26" t="inlineStr">
        <is>
          <t>VCF Operations (VCFO)</t>
        </is>
      </c>
      <c r="D9" s="26">
        <f>IFERROR(IF('IP Input Sheet'!D6&lt;&gt;"",'IP Input Sheet'!D6,IF('IP Input Sheet'!E6&lt;&gt;"",'IP Input Sheet'!E6,'IP Input Sheet'!F6)),"[Enter IP]")</f>
        <v/>
      </c>
      <c r="E9" s="26" t="inlineStr">
        <is>
          <t>AD/LDAP Server</t>
        </is>
      </c>
      <c r="F9" s="26" t="n"/>
      <c r="G9" s="26" t="inlineStr">
        <is>
          <t>636</t>
        </is>
      </c>
      <c r="H9" s="26" t="inlineStr">
        <is>
          <t>TCP</t>
        </is>
      </c>
      <c r="I9" s="26" t="inlineStr">
        <is>
          <t>Secure LDAP</t>
        </is>
      </c>
      <c r="J9" s="24" t="inlineStr">
        <is>
          <t>Allow</t>
        </is>
      </c>
      <c r="K9" s="25" t="inlineStr">
        <is>
          <t>Gateway FW</t>
        </is>
      </c>
      <c r="L9" s="26" t="inlineStr">
        <is>
          <t>Outbound</t>
        </is>
      </c>
      <c r="M9" s="26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8" customHeight="1" s="46">
      <c r="A10" s="23" t="inlineStr">
        <is>
          <t>EX-07</t>
        </is>
      </c>
      <c r="B10" s="23" t="inlineStr">
        <is>
          <t>VCFO → Global Catalog</t>
        </is>
      </c>
      <c r="C10" s="23" t="inlineStr">
        <is>
          <t>VCF Operations (VCFO)</t>
        </is>
      </c>
      <c r="D10" s="23">
        <f>IFERROR(IF('IP Input Sheet'!D6&lt;&gt;"",'IP Input Sheet'!D6,IF('IP Input Sheet'!E6&lt;&gt;"",'IP Input Sheet'!E6,'IP Input Sheet'!F6)),"[Enter IP]")</f>
        <v/>
      </c>
      <c r="E10" s="23" t="inlineStr">
        <is>
          <t>AD/LDAP Server</t>
        </is>
      </c>
      <c r="F10" s="23" t="n"/>
      <c r="G10" s="23" t="inlineStr">
        <is>
          <t>3268/3269</t>
        </is>
      </c>
      <c r="H10" s="23" t="inlineStr">
        <is>
          <t>TCP</t>
        </is>
      </c>
      <c r="I10" s="23" t="inlineStr">
        <is>
          <t>Global Catalog</t>
        </is>
      </c>
      <c r="J10" s="24" t="inlineStr">
        <is>
          <t>Allow</t>
        </is>
      </c>
      <c r="K10" s="25" t="inlineStr">
        <is>
          <t>Gateway FW</t>
        </is>
      </c>
      <c r="L10" s="23" t="inlineStr">
        <is>
          <t>Outbound</t>
        </is>
      </c>
      <c r="M10" s="23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8" customHeight="1" s="46">
      <c r="A11" s="26" t="inlineStr">
        <is>
          <t>EX-08</t>
        </is>
      </c>
      <c r="B11" s="26" t="inlineStr">
        <is>
          <t>VCFO → SFTP</t>
        </is>
      </c>
      <c r="C11" s="26" t="inlineStr">
        <is>
          <t>VCF Operations (VCFO)</t>
        </is>
      </c>
      <c r="D11" s="26">
        <f>IFERROR(IF('IP Input Sheet'!D6&lt;&gt;"",'IP Input Sheet'!D6,IF('IP Input Sheet'!E6&lt;&gt;"",'IP Input Sheet'!E6,'IP Input Sheet'!F6)),"[Enter IP]")</f>
        <v/>
      </c>
      <c r="E11" s="26" t="inlineStr">
        <is>
          <t>SFTP Server</t>
        </is>
      </c>
      <c r="F11" s="26">
        <f>IF('IP Input Sheet'!$D$64&lt;&gt;"",'IP Input Sheet'!$D$64,IF('IP Input Sheet'!$E$64&lt;&gt;"",'IP Input Sheet'!$E$64,'IP Input Sheet'!$F$64))</f>
        <v/>
      </c>
      <c r="G11" s="26" t="inlineStr">
        <is>
          <t>22</t>
        </is>
      </c>
      <c r="H11" s="26" t="inlineStr">
        <is>
          <t>TCP</t>
        </is>
      </c>
      <c r="I11" s="26" t="inlineStr">
        <is>
          <t>SFTP Backup – TCP/22</t>
        </is>
      </c>
      <c r="J11" s="24" t="inlineStr">
        <is>
          <t>Allow</t>
        </is>
      </c>
      <c r="K11" s="25" t="inlineStr">
        <is>
          <t>Gateway FW</t>
        </is>
      </c>
      <c r="L11" s="26" t="inlineStr">
        <is>
          <t>Outbound</t>
        </is>
      </c>
      <c r="M11" s="26" t="inlineStr">
        <is>
          <t>Normalized SFTP backup entry linked to IP Input Sheet (SFTP_SRV).</t>
        </is>
      </c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8" customHeight="1" s="46">
      <c r="A12" s="23" t="inlineStr">
        <is>
          <t>EX-09</t>
        </is>
      </c>
      <c r="B12" s="23" t="inlineStr">
        <is>
          <t>VIDB → LDAP</t>
        </is>
      </c>
      <c r="C12" s="23" t="inlineStr">
        <is>
          <t>Identity Broker (VIDB)</t>
        </is>
      </c>
      <c r="D12" s="23">
        <f>IFERROR(IF('IP Input Sheet'!D10&lt;&gt;"",'IP Input Sheet'!D10,IF('IP Input Sheet'!E10&lt;&gt;"",'IP Input Sheet'!E10,'IP Input Sheet'!F10)),"[Enter IP]")</f>
        <v/>
      </c>
      <c r="E12" s="23" t="inlineStr">
        <is>
          <t>AD/LDAP Server</t>
        </is>
      </c>
      <c r="F12" s="23" t="n"/>
      <c r="G12" s="23" t="inlineStr">
        <is>
          <t>389</t>
        </is>
      </c>
      <c r="H12" s="23" t="inlineStr">
        <is>
          <t>TCP/UDP</t>
        </is>
      </c>
      <c r="I12" s="23" t="inlineStr">
        <is>
          <t>Directory lookups</t>
        </is>
      </c>
      <c r="J12" s="24" t="inlineStr">
        <is>
          <t>Allow</t>
        </is>
      </c>
      <c r="K12" s="25" t="inlineStr">
        <is>
          <t>Gateway FW</t>
        </is>
      </c>
      <c r="L12" s="23" t="inlineStr">
        <is>
          <t>Outbound</t>
        </is>
      </c>
      <c r="M12" s="23" t="inlineStr">
        <is>
          <t>Identity Broker→AD</t>
        </is>
      </c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8" customHeight="1" s="46">
      <c r="A13" s="26" t="inlineStr">
        <is>
          <t>EX-10</t>
        </is>
      </c>
      <c r="B13" s="26" t="inlineStr">
        <is>
          <t>VIDB → Secure LDAP</t>
        </is>
      </c>
      <c r="C13" s="26" t="inlineStr">
        <is>
          <t>Identity Broker (VIDB)</t>
        </is>
      </c>
      <c r="D13" s="26">
        <f>IFERROR(IF('IP Input Sheet'!D10&lt;&gt;"",'IP Input Sheet'!D10,IF('IP Input Sheet'!E10&lt;&gt;"",'IP Input Sheet'!E10,'IP Input Sheet'!F10)),"[Enter IP]")</f>
        <v/>
      </c>
      <c r="E13" s="26" t="inlineStr">
        <is>
          <t>AD/LDAP Server</t>
        </is>
      </c>
      <c r="F13" s="26" t="n"/>
      <c r="G13" s="26" t="inlineStr">
        <is>
          <t>636</t>
        </is>
      </c>
      <c r="H13" s="26" t="inlineStr">
        <is>
          <t>TCP</t>
        </is>
      </c>
      <c r="I13" s="26" t="inlineStr">
        <is>
          <t>Secure LDAP</t>
        </is>
      </c>
      <c r="J13" s="24" t="inlineStr">
        <is>
          <t>Allow</t>
        </is>
      </c>
      <c r="K13" s="25" t="inlineStr">
        <is>
          <t>Gateway FW</t>
        </is>
      </c>
      <c r="L13" s="26" t="inlineStr">
        <is>
          <t>Outbound</t>
        </is>
      </c>
      <c r="M13" s="26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8" customHeight="1" s="46">
      <c r="A14" s="23" t="inlineStr">
        <is>
          <t>EX-11</t>
        </is>
      </c>
      <c r="B14" s="23" t="inlineStr">
        <is>
          <t>VIDB → IdP Federation</t>
        </is>
      </c>
      <c r="C14" s="23" t="inlineStr">
        <is>
          <t>Identity Broker (VIDB)</t>
        </is>
      </c>
      <c r="D14" s="23">
        <f>IFERROR(IF('IP Input Sheet'!D10&lt;&gt;"",'IP Input Sheet'!D10,IF('IP Input Sheet'!E10&lt;&gt;"",'IP Input Sheet'!E10,'IP Input Sheet'!F10)),"[Enter IP]")</f>
        <v/>
      </c>
      <c r="E14" s="23" t="inlineStr">
        <is>
          <t>IdP Federation Endpoint</t>
        </is>
      </c>
      <c r="F14" s="23" t="inlineStr">
        <is>
          <t>[IdP Federation IP]</t>
        </is>
      </c>
      <c r="G14" s="23" t="inlineStr">
        <is>
          <t>443</t>
        </is>
      </c>
      <c r="H14" s="23" t="inlineStr">
        <is>
          <t>TCP</t>
        </is>
      </c>
      <c r="I14" s="23" t="inlineStr">
        <is>
          <t>SAML/OIDC/Okta/Ping/Entra ID</t>
        </is>
      </c>
      <c r="J14" s="24" t="inlineStr">
        <is>
          <t>Allow</t>
        </is>
      </c>
      <c r="K14" s="25" t="inlineStr">
        <is>
          <t>Gateway FW</t>
        </is>
      </c>
      <c r="L14" s="23" t="inlineStr">
        <is>
          <t>Outbound</t>
        </is>
      </c>
      <c r="M14" s="23" t="inlineStr">
        <is>
          <t>External IdP — confirm IP with AMEX security team</t>
        </is>
      </c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8" customHeight="1" s="46">
      <c r="A15" s="26" t="inlineStr">
        <is>
          <t>EX-12</t>
        </is>
      </c>
      <c r="B15" s="26" t="inlineStr">
        <is>
          <t>VIDB → DNS</t>
        </is>
      </c>
      <c r="C15" s="26" t="inlineStr">
        <is>
          <t>Identity Broker (VIDB)</t>
        </is>
      </c>
      <c r="D15" s="26">
        <f>IFERROR(IF('IP Input Sheet'!D10&lt;&gt;"",'IP Input Sheet'!D10,IF('IP Input Sheet'!E10&lt;&gt;"",'IP Input Sheet'!E10,'IP Input Sheet'!F10)),"[Enter IP]")</f>
        <v/>
      </c>
      <c r="E15" s="26" t="inlineStr">
        <is>
          <t>DNS Server</t>
        </is>
      </c>
      <c r="F15" s="26" t="n"/>
      <c r="G15" s="26" t="inlineStr">
        <is>
          <t>53</t>
        </is>
      </c>
      <c r="H15" s="26" t="inlineStr">
        <is>
          <t>TCP/UDP</t>
        </is>
      </c>
      <c r="I15" s="26" t="inlineStr">
        <is>
          <t>FQDN resolution for vCenter/NSX/SDDC</t>
        </is>
      </c>
      <c r="J15" s="24" t="inlineStr">
        <is>
          <t>Allow</t>
        </is>
      </c>
      <c r="K15" s="25" t="inlineStr">
        <is>
          <t>Gateway FW</t>
        </is>
      </c>
      <c r="L15" s="26" t="inlineStr">
        <is>
          <t>Outbound</t>
        </is>
      </c>
      <c r="M15" s="26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8" customHeight="1" s="46">
      <c r="A16" s="23" t="inlineStr">
        <is>
          <t>EX-13</t>
        </is>
      </c>
      <c r="B16" s="23" t="inlineStr">
        <is>
          <t>VIDB → NTP</t>
        </is>
      </c>
      <c r="C16" s="23" t="inlineStr">
        <is>
          <t>Identity Broker (VIDB)</t>
        </is>
      </c>
      <c r="D16" s="23">
        <f>IFERROR(IF('IP Input Sheet'!D10&lt;&gt;"",'IP Input Sheet'!D10,IF('IP Input Sheet'!E10&lt;&gt;"",'IP Input Sheet'!E10,'IP Input Sheet'!F10)),"[Enter IP]")</f>
        <v/>
      </c>
      <c r="E16" s="23" t="inlineStr">
        <is>
          <t>NTP Server</t>
        </is>
      </c>
      <c r="F16" s="23" t="n"/>
      <c r="G16" s="23" t="inlineStr">
        <is>
          <t>123</t>
        </is>
      </c>
      <c r="H16" s="23" t="inlineStr">
        <is>
          <t>UDP</t>
        </is>
      </c>
      <c r="I16" s="23" t="inlineStr">
        <is>
          <t>Time sync</t>
        </is>
      </c>
      <c r="J16" s="24" t="inlineStr">
        <is>
          <t>Allow</t>
        </is>
      </c>
      <c r="K16" s="25" t="inlineStr">
        <is>
          <t>Gateway FW</t>
        </is>
      </c>
      <c r="L16" s="23" t="inlineStr">
        <is>
          <t>Outbound</t>
        </is>
      </c>
      <c r="M16" s="23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8" customHeight="1" s="46">
      <c r="A17" s="26" t="inlineStr">
        <is>
          <t>EX-14</t>
        </is>
      </c>
      <c r="B17" s="26" t="inlineStr">
        <is>
          <t>VIDB → SFTP</t>
        </is>
      </c>
      <c r="C17" s="26" t="inlineStr">
        <is>
          <t>Identity Broker (VIDB)</t>
        </is>
      </c>
      <c r="D17" s="26">
        <f>IFERROR(IF('IP Input Sheet'!D10&lt;&gt;"",'IP Input Sheet'!D10,IF('IP Input Sheet'!E10&lt;&gt;"",'IP Input Sheet'!E10,'IP Input Sheet'!F10)),"[Enter IP]")</f>
        <v/>
      </c>
      <c r="E17" s="26" t="inlineStr">
        <is>
          <t>SFTP Server</t>
        </is>
      </c>
      <c r="F17" s="26">
        <f>IF('IP Input Sheet'!$D$64&lt;&gt;"",'IP Input Sheet'!$D$64,IF('IP Input Sheet'!$E$64&lt;&gt;"",'IP Input Sheet'!$E$64,'IP Input Sheet'!$F$64))</f>
        <v/>
      </c>
      <c r="G17" s="26" t="inlineStr">
        <is>
          <t>22</t>
        </is>
      </c>
      <c r="H17" s="26" t="inlineStr">
        <is>
          <t>TCP</t>
        </is>
      </c>
      <c r="I17" s="26" t="inlineStr">
        <is>
          <t>SFTP Backup – TCP/22</t>
        </is>
      </c>
      <c r="J17" s="24" t="inlineStr">
        <is>
          <t>Allow</t>
        </is>
      </c>
      <c r="K17" s="25" t="inlineStr">
        <is>
          <t>Gateway FW</t>
        </is>
      </c>
      <c r="L17" s="26" t="inlineStr">
        <is>
          <t>Outbound</t>
        </is>
      </c>
      <c r="M17" s="26" t="inlineStr">
        <is>
          <t>Normalized SFTP backup entry linked to IP Input Sheet (SFTP_SRV).</t>
        </is>
      </c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8" customHeight="1" s="46">
      <c r="A18" s="23" t="inlineStr">
        <is>
          <t>EX-15</t>
        </is>
      </c>
      <c r="B18" s="23" t="inlineStr">
        <is>
          <t>VIDB → CA Server</t>
        </is>
      </c>
      <c r="C18" s="23" t="inlineStr">
        <is>
          <t>Identity Broker (VIDB)</t>
        </is>
      </c>
      <c r="D18" s="23">
        <f>IFERROR(IF('IP Input Sheet'!D10&lt;&gt;"",'IP Input Sheet'!D10,IF('IP Input Sheet'!E10&lt;&gt;"",'IP Input Sheet'!E10,'IP Input Sheet'!F10)),"[Enter IP]")</f>
        <v/>
      </c>
      <c r="E18" s="23" t="inlineStr">
        <is>
          <t>CA Certificate Server</t>
        </is>
      </c>
      <c r="F18" s="23" t="n"/>
      <c r="G18" s="23" t="inlineStr">
        <is>
          <t>443</t>
        </is>
      </c>
      <c r="H18" s="23" t="inlineStr">
        <is>
          <t>TCP</t>
        </is>
      </c>
      <c r="I18" s="23" t="inlineStr">
        <is>
          <t>SSL certificate  CA</t>
        </is>
      </c>
      <c r="J18" s="24" t="inlineStr">
        <is>
          <t>Allow</t>
        </is>
      </c>
      <c r="K18" s="25" t="inlineStr">
        <is>
          <t>Gateway FW</t>
        </is>
      </c>
      <c r="L18" s="23" t="inlineStr">
        <is>
          <t>Outbound</t>
        </is>
      </c>
      <c r="M18" s="23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8" customHeight="1" s="46">
      <c r="A19" s="26" t="inlineStr">
        <is>
          <t>EX-16</t>
        </is>
      </c>
      <c r="B19" s="26" t="inlineStr">
        <is>
          <t>ICMP — Fleet→External</t>
        </is>
      </c>
      <c r="C19" s="26" t="inlineStr">
        <is>
          <t>All Fleet Components</t>
        </is>
      </c>
      <c r="D19" s="26" t="inlineStr">
        <is>
          <t>[Fleet IPs]</t>
        </is>
      </c>
      <c r="E19" s="26" t="inlineStr">
        <is>
          <t>External Services</t>
        </is>
      </c>
      <c r="F19" s="26" t="inlineStr">
        <is>
          <t>[External IP]</t>
        </is>
      </c>
      <c r="G19" s="26" t="inlineStr">
        <is>
          <t>ICMP</t>
        </is>
      </c>
      <c r="H19" s="26" t="inlineStr">
        <is>
          <t>ICMP</t>
        </is>
      </c>
      <c r="I19" s="26" t="inlineStr">
        <is>
          <t>Reachability ping/traceroute</t>
        </is>
      </c>
      <c r="J19" s="24" t="inlineStr">
        <is>
          <t>Allow</t>
        </is>
      </c>
      <c r="K19" s="25" t="inlineStr">
        <is>
          <t>Gateway FW</t>
        </is>
      </c>
      <c r="L19" s="26" t="inlineStr">
        <is>
          <t>Bidirectional</t>
        </is>
      </c>
      <c r="M19" s="26" t="inlineStr">
        <is>
          <t>ALL Fleet-level components</t>
        </is>
      </c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>
      <c r="A20" s="13" t="inlineStr">
        <is>
          <t>EX-17</t>
        </is>
      </c>
      <c r="B20" s="13" t="inlineStr">
        <is>
          <t>NSX GM → SFTP Backup</t>
        </is>
      </c>
      <c r="C20" s="13" t="inlineStr">
        <is>
          <t>NSX Global Manager</t>
        </is>
      </c>
      <c r="D20" s="13">
        <f>IF('IP Input Sheet'!$D$15&lt;&gt;"",'IP Input Sheet'!$D$15,IF('IP Input Sheet'!$E$15&lt;&gt;"",'IP Input Sheet'!$E$15,'IP Input Sheet'!$F$15))</f>
        <v/>
      </c>
      <c r="E20" s="13" t="inlineStr">
        <is>
          <t>SFTP Server</t>
        </is>
      </c>
      <c r="F20" s="13">
        <f>IF('IP Input Sheet'!$D$64&lt;&gt;"",'IP Input Sheet'!$D$64,IF('IP Input Sheet'!$E$64&lt;&gt;"",'IP Input Sheet'!$E$64,'IP Input Sheet'!$F$64))</f>
        <v/>
      </c>
      <c r="G20" s="13" t="inlineStr">
        <is>
          <t>22</t>
        </is>
      </c>
      <c r="H20" s="13" t="inlineStr">
        <is>
          <t>TCP</t>
        </is>
      </c>
      <c r="I20" s="13" t="inlineStr">
        <is>
          <t>SFTP Backup – TCP/22</t>
        </is>
      </c>
      <c r="J20" s="13" t="inlineStr">
        <is>
          <t>Allow</t>
        </is>
      </c>
      <c r="K20" s="13" t="inlineStr">
        <is>
          <t>Gateway FW</t>
        </is>
      </c>
      <c r="L20" s="13" t="inlineStr">
        <is>
          <t>Outbound</t>
        </is>
      </c>
      <c r="M20" s="13" t="inlineStr">
        <is>
          <t>Explicit NSX Global Manager backup path to external SFTP per NSX LLD.</t>
        </is>
      </c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46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46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46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46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46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4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46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46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46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46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46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46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46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46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46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4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46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46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46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46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46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46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46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46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46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46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46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46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46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46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46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46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46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46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46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46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46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46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46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46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46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46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46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46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46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46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46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46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46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46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46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46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46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46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46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46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46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46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46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46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46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46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46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46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46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46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46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46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46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46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46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46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46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46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46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46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46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46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46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46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46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46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46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46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46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46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46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46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46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46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46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46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46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46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46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46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46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46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46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46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46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46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46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46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46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46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46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46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46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46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46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46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46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46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46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46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46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46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46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46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46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46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46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46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46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46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46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46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46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46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46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46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46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46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46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46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46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46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46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46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46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46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46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46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46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46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46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46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46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46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46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46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46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46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46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46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46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46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46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46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46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46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46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46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46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46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46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46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46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46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46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46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46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46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46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46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46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46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46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46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46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46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46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46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46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46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46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46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46">
      <c r="A209" s="13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46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46">
      <c r="A211" s="13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46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46">
      <c r="A213" s="13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46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46">
      <c r="A215" s="13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46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46">
      <c r="A217" s="13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46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46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46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46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46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46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46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46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4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46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46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46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46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46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46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46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46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46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4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46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46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46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46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46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46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46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46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46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46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46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46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46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46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46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46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46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46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4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46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46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46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46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46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46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46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46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46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4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46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46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46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46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46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46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46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46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46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4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46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46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46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46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46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46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46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46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46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4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46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46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46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46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46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46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46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46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46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4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46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46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46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46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46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46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46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46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46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4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46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46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46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46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46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46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46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46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46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4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46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46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46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46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46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46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46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46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46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4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46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46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46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46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46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46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46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46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46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4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46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46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46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46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46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46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46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46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46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46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46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46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46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46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46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46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46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46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4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46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46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46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46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46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46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46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46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46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4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46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46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46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46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46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46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46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46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46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4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46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46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46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46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46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46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46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46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46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4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46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46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46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46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46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46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46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46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46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4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46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46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46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46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46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46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46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46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46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4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46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46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46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46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46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46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46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46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46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4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46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46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46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46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46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46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46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46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46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4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46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46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46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46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46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46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46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46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46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4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46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46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46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46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46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46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46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46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46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46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46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46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46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46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46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46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46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46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4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46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46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46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46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46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46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46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46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46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4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46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46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46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46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46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46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46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46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46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4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46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46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46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46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46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46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46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46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46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4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46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46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46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46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46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46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46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46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46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4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46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46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46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46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46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46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46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46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46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4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46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46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46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46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46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46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46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46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46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4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46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46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46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46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46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46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46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46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46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4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46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46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46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46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46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46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46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46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46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4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46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46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46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46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46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46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46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46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46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4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46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46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46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46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46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46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46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46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46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4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46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46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46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46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46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46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46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46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46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4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46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46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46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46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46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46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46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46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46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4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46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46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46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46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46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46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46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46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46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4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46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46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46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46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46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46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46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46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46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4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46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46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46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46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46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46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46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46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46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4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46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46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46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46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46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46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46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46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46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4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46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46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46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46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46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46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46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46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46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4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46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46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46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46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46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46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46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46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46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4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46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46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46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46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46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46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46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46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46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4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46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46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46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46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46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46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46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46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46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4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46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46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46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46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46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46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46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46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46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4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46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46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46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46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46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46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46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46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46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4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46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46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46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46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46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46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46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46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46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4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46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46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46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46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46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46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46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46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46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4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46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46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46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46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46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46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46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46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46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4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46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46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46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46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46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46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46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46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46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4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46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46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46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46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46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46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46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46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46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4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46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46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46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46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46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46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46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46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46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4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46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46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46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46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46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46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46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46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46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4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46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46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46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46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46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46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46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46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46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4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46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46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46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46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46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46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46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46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46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4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46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46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46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46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46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46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46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46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46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4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46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46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46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46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46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46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46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46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46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4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46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46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46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46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46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46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46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46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46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4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46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46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46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46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46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46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46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46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46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4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46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46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46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46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46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46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46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46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46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4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46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46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46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46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46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46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46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46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46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4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46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46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46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46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46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46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46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46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46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4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46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46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46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46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46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46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46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46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46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4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46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46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46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46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46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46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46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46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46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4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46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46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46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46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46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46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46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46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46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4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46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46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46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46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46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46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46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46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46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4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46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46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46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46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46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46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46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46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46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4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46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46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46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46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46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46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46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46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46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4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46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46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46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46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46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46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46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46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46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4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46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46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46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46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46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46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46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46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46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4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46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46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46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46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46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46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46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46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46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4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46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46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46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46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46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46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46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46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46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4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46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46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46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46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46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46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46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46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46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4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46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46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46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46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46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46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46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46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46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4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46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46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46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46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46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46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46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46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46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4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46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46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46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46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46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46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46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46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46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4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46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46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46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46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46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46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46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46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46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4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46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46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46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46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46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46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46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46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46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4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46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46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46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46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mergeCells count="2">
    <mergeCell ref="A2:M2"/>
    <mergeCell ref="A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7030A0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000030517578" defaultRowHeight="15"/>
  <cols>
    <col width="7" customWidth="1" style="46" min="1" max="1"/>
    <col width="30" customWidth="1" style="46" min="2" max="2"/>
    <col width="24" customWidth="1" style="46" min="3" max="3"/>
    <col width="26" customWidth="1" style="46" min="4" max="4"/>
    <col width="22" customWidth="1" style="46" min="5" max="5"/>
    <col width="16" customWidth="1" style="46" min="6" max="6"/>
    <col width="28" customWidth="1" style="46" min="7" max="7"/>
    <col width="12" customWidth="1" style="46" min="8" max="8"/>
    <col width="40" customWidth="1" style="46" min="9" max="9"/>
  </cols>
  <sheetData>
    <row r="1" ht="27.75" customHeight="1" s="46">
      <c r="A1" s="52" t="inlineStr">
        <is>
          <t>AES-220  |  Route Table  |  Fleet ↔ Management Domain ↔ WLD ESXi</t>
        </is>
      </c>
      <c r="B1" s="48" t="n"/>
      <c r="C1" s="48" t="n"/>
      <c r="D1" s="48" t="n"/>
      <c r="E1" s="48" t="n"/>
      <c r="F1" s="48" t="n"/>
      <c r="G1" s="48" t="n"/>
      <c r="H1" s="48" t="n"/>
      <c r="I1" s="48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8" customHeight="1" s="46">
      <c r="A2" s="49" t="inlineStr">
        <is>
          <t>Destination subnets auto-populated from ' IP Input Sheet'.  Next-hop populated once IPs are entered.</t>
        </is>
      </c>
      <c r="B2" s="48" t="n"/>
      <c r="C2" s="48" t="n"/>
      <c r="D2" s="48" t="n"/>
      <c r="E2" s="48" t="n"/>
      <c r="F2" s="48" t="n"/>
      <c r="G2" s="48" t="n"/>
      <c r="H2" s="48" t="n"/>
      <c r="I2" s="48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25.5" customHeight="1" s="46">
      <c r="A3" s="6" t="inlineStr">
        <is>
          <t>#</t>
        </is>
      </c>
      <c r="B3" s="6" t="inlineStr">
        <is>
          <t>Destination Network</t>
        </is>
      </c>
      <c r="C3" s="6" t="inlineStr">
        <is>
          <t>Subnet / IP</t>
        </is>
      </c>
      <c r="D3" s="6" t="inlineStr">
        <is>
          <t>Next Hop</t>
        </is>
      </c>
      <c r="E3" s="6" t="inlineStr">
        <is>
          <t>Via Interface</t>
        </is>
      </c>
      <c r="F3" s="6" t="inlineStr">
        <is>
          <t>Route Type</t>
        </is>
      </c>
      <c r="G3" s="6" t="inlineStr">
        <is>
          <t>Source Component</t>
        </is>
      </c>
      <c r="H3" s="6" t="inlineStr">
        <is>
          <t>AZ Scope</t>
        </is>
      </c>
      <c r="I3" s="6" t="inlineStr">
        <is>
          <t>Notes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8" customHeight="1" s="46">
      <c r="A4" s="23" t="inlineStr">
        <is>
          <t>RT-01</t>
        </is>
      </c>
      <c r="B4" s="23" t="inlineStr">
        <is>
          <t>Fleet Overlay Segment</t>
        </is>
      </c>
      <c r="C4" s="23">
        <f>IFERROR(IF('IP Input Sheet'!D11&lt;&gt;"",'IP Input Sheet'!D11,IF('IP Input Sheet'!E11&lt;&gt;"",'IP Input Sheet'!E11,'IP Input Sheet'!F11)),"[Enter IP]")</f>
        <v/>
      </c>
      <c r="D4" s="23" t="inlineStr">
        <is>
          <t>T0 Gateway (per AZ)</t>
        </is>
      </c>
      <c r="E4" s="23" t="inlineStr">
        <is>
          <t>NSX Overlay</t>
        </is>
      </c>
      <c r="F4" s="25" t="inlineStr">
        <is>
          <t>Static/NSX</t>
        </is>
      </c>
      <c r="G4" s="23" t="inlineStr">
        <is>
          <t>All Fleet Components</t>
        </is>
      </c>
      <c r="H4" s="23" t="inlineStr">
        <is>
          <t>AZ1/2/3</t>
        </is>
      </c>
      <c r="I4" s="23" t="inlineStr">
        <is>
          <t>NSX overlay  depends on Edge/T0 health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8" customHeight="1" s="46">
      <c r="A5" s="26" t="inlineStr">
        <is>
          <t>RT-02</t>
        </is>
      </c>
      <c r="B5" s="26" t="inlineStr">
        <is>
          <t>VCF Ops Fleet Manager</t>
        </is>
      </c>
      <c r="C5" s="26">
        <f>IFERROR(IF('IP Input Sheet'!D5&lt;&gt;"",'IP Input Sheet'!D5,IF('IP Input Sheet'!E5&lt;&gt;"",'IP Input Sheet'!E5,'IP Input Sheet'!F5)),"[Enter IP]")</f>
        <v/>
      </c>
      <c r="D5" s="26" t="inlineStr">
        <is>
          <t>T0 Gateway (per AZ)</t>
        </is>
      </c>
      <c r="E5" s="26" t="inlineStr">
        <is>
          <t>NSX Overlay</t>
        </is>
      </c>
      <c r="F5" s="25" t="inlineStr">
        <is>
          <t>NSX Overlay</t>
        </is>
      </c>
      <c r="G5" s="26" t="inlineStr">
        <is>
          <t>VCF Operations Fleet Manager</t>
        </is>
      </c>
      <c r="H5" s="26" t="inlineStr">
        <is>
          <t>AZ1/2/3</t>
        </is>
      </c>
      <c r="I5" s="26" t="inlineStr">
        <is>
          <t>Fleet segment overlay routed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8" customHeight="1" s="46">
      <c r="A6" s="23" t="inlineStr">
        <is>
          <t>RT-03</t>
        </is>
      </c>
      <c r="B6" s="23" t="inlineStr">
        <is>
          <t>VCF Operations (VCFO)</t>
        </is>
      </c>
      <c r="C6" s="23">
        <f>IFERROR(IF('IP Input Sheet'!D6&lt;&gt;"",'IP Input Sheet'!D6,IF('IP Input Sheet'!E6&lt;&gt;"",'IP Input Sheet'!E6,'IP Input Sheet'!F6)),"[Enter IP]")</f>
        <v/>
      </c>
      <c r="D6" s="23" t="inlineStr">
        <is>
          <t>T0 Gateway (per AZ)</t>
        </is>
      </c>
      <c r="E6" s="23" t="inlineStr">
        <is>
          <t>NSX Overlay</t>
        </is>
      </c>
      <c r="F6" s="25" t="inlineStr">
        <is>
          <t>NSX Overlay</t>
        </is>
      </c>
      <c r="G6" s="23" t="inlineStr">
        <is>
          <t>VCF Operations</t>
        </is>
      </c>
      <c r="H6" s="23" t="inlineStr">
        <is>
          <t>AZ1/2/3</t>
        </is>
      </c>
      <c r="I6" s="23" t="inlineStr">
        <is>
          <t>Fleet segment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8" customHeight="1" s="46">
      <c r="A7" s="26" t="inlineStr">
        <is>
          <t>RT-04</t>
        </is>
      </c>
      <c r="B7" s="26" t="inlineStr">
        <is>
          <t>VCF Automation (VCFA)</t>
        </is>
      </c>
      <c r="C7" s="26">
        <f>IFERROR(IF('IP Input Sheet'!D7&lt;&gt;"",'IP Input Sheet'!D7,IF('IP Input Sheet'!E7&lt;&gt;"",'IP Input Sheet'!E7,'IP Input Sheet'!F7)),"[Enter IP]")</f>
        <v/>
      </c>
      <c r="D7" s="26" t="inlineStr">
        <is>
          <t>T0 Gateway (per AZ)</t>
        </is>
      </c>
      <c r="E7" s="26" t="inlineStr">
        <is>
          <t>NSX Overlay</t>
        </is>
      </c>
      <c r="F7" s="25" t="inlineStr">
        <is>
          <t>NSX Overlay</t>
        </is>
      </c>
      <c r="G7" s="26" t="inlineStr">
        <is>
          <t>VCF Automation</t>
        </is>
      </c>
      <c r="H7" s="26" t="inlineStr">
        <is>
          <t>AZ1/2/3</t>
        </is>
      </c>
      <c r="I7" s="26" t="inlineStr">
        <is>
          <t>Fleet segment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8" customHeight="1" s="46">
      <c r="A8" s="23" t="inlineStr">
        <is>
          <t>RT-05</t>
        </is>
      </c>
      <c r="B8" s="23" t="inlineStr">
        <is>
          <t>VCF Ops for Logs (VOL)</t>
        </is>
      </c>
      <c r="C8" s="23">
        <f>IFERROR(IF('IP Input Sheet'!D8&lt;&gt;"",'IP Input Sheet'!D8,IF('IP Input Sheet'!E8&lt;&gt;"",'IP Input Sheet'!E8,'IP Input Sheet'!F8)),"[Enter IP]")</f>
        <v/>
      </c>
      <c r="D8" s="23" t="inlineStr">
        <is>
          <t>T0 Gateway (per AZ)</t>
        </is>
      </c>
      <c r="E8" s="23" t="inlineStr">
        <is>
          <t>NSX Overlay</t>
        </is>
      </c>
      <c r="F8" s="25" t="inlineStr">
        <is>
          <t>NSX Overlay</t>
        </is>
      </c>
      <c r="G8" s="23" t="inlineStr">
        <is>
          <t>VCF Operations for Logs</t>
        </is>
      </c>
      <c r="H8" s="23" t="inlineStr">
        <is>
          <t>AZ1/2/3</t>
        </is>
      </c>
      <c r="I8" s="23" t="inlineStr">
        <is>
          <t>Fleet segment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8" customHeight="1" s="46">
      <c r="A9" s="26" t="inlineStr">
        <is>
          <t>RT-06</t>
        </is>
      </c>
      <c r="B9" s="26" t="inlineStr">
        <is>
          <t>VCF Ops for Networks (VON)</t>
        </is>
      </c>
      <c r="C9" s="26">
        <f>IFERROR(IF('IP Input Sheet'!D9&lt;&gt;"",'IP Input Sheet'!D9,IF('IP Input Sheet'!E9&lt;&gt;"",'IP Input Sheet'!E9,'IP Input Sheet'!F9)),"[Enter IP]")</f>
        <v/>
      </c>
      <c r="D9" s="26" t="inlineStr">
        <is>
          <t>T0 Gateway (per AZ)</t>
        </is>
      </c>
      <c r="E9" s="26" t="inlineStr">
        <is>
          <t>NSX Overlay</t>
        </is>
      </c>
      <c r="F9" s="25" t="inlineStr">
        <is>
          <t>NSX Overlay</t>
        </is>
      </c>
      <c r="G9" s="26" t="inlineStr">
        <is>
          <t>VCF Ops for Networks</t>
        </is>
      </c>
      <c r="H9" s="26" t="inlineStr">
        <is>
          <t>AZ1/2/3</t>
        </is>
      </c>
      <c r="I9" s="26" t="inlineStr">
        <is>
          <t>Fleet segment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8" customHeight="1" s="46">
      <c r="A10" s="23" t="inlineStr">
        <is>
          <t>RT-07</t>
        </is>
      </c>
      <c r="B10" s="23" t="inlineStr">
        <is>
          <t>Identity Broker (VIDB)</t>
        </is>
      </c>
      <c r="C10" s="23">
        <f>IFERROR(IF('IP Input Sheet'!D10&lt;&gt;"",'IP Input Sheet'!D10,IF('IP Input Sheet'!E10&lt;&gt;"",'IP Input Sheet'!E10,'IP Input Sheet'!F10)),"[Enter IP]")</f>
        <v/>
      </c>
      <c r="D10" s="23" t="inlineStr">
        <is>
          <t>T0 Gateway (per AZ)</t>
        </is>
      </c>
      <c r="E10" s="23" t="inlineStr">
        <is>
          <t>NSX Overlay</t>
        </is>
      </c>
      <c r="F10" s="25" t="inlineStr">
        <is>
          <t>NSX Overlay</t>
        </is>
      </c>
      <c r="G10" s="23" t="inlineStr">
        <is>
          <t>Identity Broker</t>
        </is>
      </c>
      <c r="H10" s="23" t="inlineStr">
        <is>
          <t>AZ1/2/3</t>
        </is>
      </c>
      <c r="I10" s="23" t="inlineStr">
        <is>
          <t>Fleet segment  SSO critical path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8" customHeight="1" s="46">
      <c r="A11" s="26" t="inlineStr">
        <is>
          <t>RT-08</t>
        </is>
      </c>
      <c r="B11" s="26" t="inlineStr">
        <is>
          <t>VM Management (VLAN 2600)</t>
        </is>
      </c>
      <c r="C11" s="26">
        <f>IFERROR(IF('IP Input Sheet'!D13&lt;&gt;"",'IP Input Sheet'!D13,IF('IP Input Sheet'!E13&lt;&gt;"",'IP Input Sheet'!E13,'IP Input Sheet'!F13)),"[Enter IP]")</f>
        <v/>
      </c>
      <c r="D11" s="26" t="inlineStr">
        <is>
          <t>ToR Switch (per AZ)</t>
        </is>
      </c>
      <c r="E11" s="26" t="inlineStr">
        <is>
          <t>VLAN 2600</t>
        </is>
      </c>
      <c r="F11" s="37" t="inlineStr">
        <is>
          <t>VLAN/Static</t>
        </is>
      </c>
      <c r="G11" s="26" t="inlineStr">
        <is>
          <t>vCenter/NSX Mgr/SDDC Mgr</t>
        </is>
      </c>
      <c r="H11" s="26" t="inlineStr">
        <is>
          <t>AZ1/2/3</t>
        </is>
      </c>
      <c r="I11" s="26" t="inlineStr">
        <is>
          <t>VLAN-backed direct physical, no NSX dependency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8" customHeight="1" s="46">
      <c r="A12" s="23" t="inlineStr">
        <is>
          <t>RT-09</t>
        </is>
      </c>
      <c r="B12" s="23" t="inlineStr">
        <is>
          <t>vCenter Server</t>
        </is>
      </c>
      <c r="C12" s="23">
        <f>IFERROR(IF('IP Input Sheet'!D13&lt;&gt;"",'IP Input Sheet'!D13,IF('IP Input Sheet'!E13&lt;&gt;"",'IP Input Sheet'!E13,'IP Input Sheet'!F13)),"[Enter IP]")</f>
        <v/>
      </c>
      <c r="D12" s="23" t="inlineStr">
        <is>
          <t>ToR Switch (per AZ)</t>
        </is>
      </c>
      <c r="E12" s="23" t="inlineStr">
        <is>
          <t>VLAN 2600</t>
        </is>
      </c>
      <c r="F12" s="23" t="inlineStr">
        <is>
          <t>Static</t>
        </is>
      </c>
      <c r="G12" s="23" t="inlineStr">
        <is>
          <t>vCenter Server</t>
        </is>
      </c>
      <c r="H12" s="23" t="inlineStr">
        <is>
          <t>AZ1/2/3</t>
        </is>
      </c>
      <c r="I12" s="23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8" customHeight="1" s="46">
      <c r="A13" s="26" t="inlineStr">
        <is>
          <t>RT-10</t>
        </is>
      </c>
      <c r="B13" s="26" t="inlineStr">
        <is>
          <t>NSX Manager</t>
        </is>
      </c>
      <c r="C13" s="26">
        <f>IFERROR(IF('IP Input Sheet'!D14&lt;&gt;"",'IP Input Sheet'!D14,IF('IP Input Sheet'!E14&lt;&gt;"",'IP Input Sheet'!E14,'IP Input Sheet'!F14)),"[Enter IP]")</f>
        <v/>
      </c>
      <c r="D13" s="26" t="inlineStr">
        <is>
          <t>ToR Switch (per AZ)</t>
        </is>
      </c>
      <c r="E13" s="26" t="inlineStr">
        <is>
          <t>VLAN 2600</t>
        </is>
      </c>
      <c r="F13" s="26" t="inlineStr">
        <is>
          <t>Static</t>
        </is>
      </c>
      <c r="G13" s="26" t="inlineStr">
        <is>
          <t>NSX Manager</t>
        </is>
      </c>
      <c r="H13" s="26" t="inlineStr">
        <is>
          <t>AZ1/2/3</t>
        </is>
      </c>
      <c r="I13" s="26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8" customHeight="1" s="46">
      <c r="A14" s="23" t="inlineStr">
        <is>
          <t>RT-11</t>
        </is>
      </c>
      <c r="B14" s="23" t="inlineStr">
        <is>
          <t>SDDC Manager</t>
        </is>
      </c>
      <c r="C14" s="23">
        <f>IFERROR(IF('IP Input Sheet'!D16&lt;&gt;"",'IP Input Sheet'!D16,IF('IP Input Sheet'!E16&lt;&gt;"",'IP Input Sheet'!E16,'IP Input Sheet'!F16)),"[Enter IP]")</f>
        <v/>
      </c>
      <c r="D14" s="23" t="inlineStr">
        <is>
          <t>ToR Switch (per AZ)</t>
        </is>
      </c>
      <c r="E14" s="23" t="inlineStr">
        <is>
          <t>VLAN 2600</t>
        </is>
      </c>
      <c r="F14" s="23" t="inlineStr">
        <is>
          <t>Static</t>
        </is>
      </c>
      <c r="G14" s="23" t="inlineStr">
        <is>
          <t>SDDC Manager</t>
        </is>
      </c>
      <c r="H14" s="23" t="inlineStr">
        <is>
          <t>AZ1/2/3</t>
        </is>
      </c>
      <c r="I14" s="23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8" customHeight="1" s="46">
      <c r="A15" s="26" t="inlineStr">
        <is>
          <t>RT-12</t>
        </is>
      </c>
      <c r="B15" s="26" t="inlineStr">
        <is>
          <t>ESXi Mgmt — WLD</t>
        </is>
      </c>
      <c r="C15" s="26">
        <f>IFERROR(IF('IP Input Sheet'!D54&lt;&gt;"",'IP Input Sheet'!D54,IF('IP Input Sheet'!E54&lt;&gt;"",'IP Input Sheet'!E54,'IP Input Sheet'!F54)),"[Enter IP]")</f>
        <v/>
      </c>
      <c r="D15" s="26" t="inlineStr">
        <is>
          <t>ToR Switch (per AZ)</t>
        </is>
      </c>
      <c r="E15" s="26" t="inlineStr">
        <is>
          <t>vDSW01 VM Mgmt PG</t>
        </is>
      </c>
      <c r="F15" s="26" t="inlineStr">
        <is>
          <t>Static</t>
        </is>
      </c>
      <c r="G15" s="26" t="inlineStr">
        <is>
          <t>ESXi Hosts WLD</t>
        </is>
      </c>
      <c r="H15" s="26" t="inlineStr">
        <is>
          <t>AZ1/2/3</t>
        </is>
      </c>
      <c r="I15" s="26" t="inlineStr">
        <is>
          <t>WLD cluster hosts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8" customHeight="1" s="46">
      <c r="A16" s="23" t="inlineStr">
        <is>
          <t>RT-13</t>
        </is>
      </c>
      <c r="B16" s="23" t="inlineStr">
        <is>
          <t>ESXi Mgmt — Mgmt Domain</t>
        </is>
      </c>
      <c r="C16" s="23">
        <f>IFERROR(IF('IP Input Sheet'!D18&lt;&gt;"",'IP Input Sheet'!D18,IF('IP Input Sheet'!E18&lt;&gt;"",'IP Input Sheet'!E18,'IP Input Sheet'!F18)),"[Enter IP]")</f>
        <v/>
      </c>
      <c r="D16" s="23" t="inlineStr">
        <is>
          <t>ToR Switch (per AZ)</t>
        </is>
      </c>
      <c r="E16" s="23" t="inlineStr">
        <is>
          <t>vDSM01 VM Mgmt PG</t>
        </is>
      </c>
      <c r="F16" s="23" t="inlineStr">
        <is>
          <t>Static</t>
        </is>
      </c>
      <c r="G16" s="23" t="inlineStr">
        <is>
          <t>ESXi Hosts Mgmt</t>
        </is>
      </c>
      <c r="H16" s="23" t="inlineStr">
        <is>
          <t>AZ1/2/3</t>
        </is>
      </c>
      <c r="I16" s="23" t="inlineStr">
        <is>
          <t>Mgmt domain cluster hosts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8" customHeight="1" s="46">
      <c r="A17" s="26" t="inlineStr">
        <is>
          <t>RT-14</t>
        </is>
      </c>
      <c r="B17" s="26" t="inlineStr">
        <is>
          <t>Workload Ext Subnet</t>
        </is>
      </c>
      <c r="C17" s="26">
        <f>IFERROR(IF('IP Input Sheet'!D55&lt;&gt;"",'IP Input Sheet'!D55,IF('IP Input Sheet'!E55&lt;&gt;"",'IP Input Sheet'!E55,'IP Input Sheet'!F55)),"[Enter IP]")</f>
        <v/>
      </c>
      <c r="D17" s="26" t="inlineStr">
        <is>
          <t>T0 Gateway (per AZ)</t>
        </is>
      </c>
      <c r="E17" s="26" t="inlineStr">
        <is>
          <t>NSX Edge / Uplink</t>
        </is>
      </c>
      <c r="F17" s="38" t="inlineStr">
        <is>
          <t>BGP Advertised</t>
        </is>
      </c>
      <c r="G17" s="26" t="inlineStr">
        <is>
          <t>Avi VIPs / WLD external</t>
        </is>
      </c>
      <c r="H17" s="26" t="inlineStr">
        <is>
          <t>AZ1/2/3</t>
        </is>
      </c>
      <c r="I17" s="26" t="inlineStr">
        <is>
          <t>VIP subnet BGP advertised via Edge to ToR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8" customHeight="1" s="46">
      <c r="A18" s="23" t="inlineStr">
        <is>
          <t>RT-15</t>
        </is>
      </c>
      <c r="B18" s="23" t="inlineStr">
        <is>
          <t>DNS Server</t>
        </is>
      </c>
      <c r="C18" s="23">
        <f>'IP Input Sheet'!D60</f>
        <v/>
      </c>
      <c r="D18" s="23" t="inlineStr">
        <is>
          <t>Edge Node → ToR</t>
        </is>
      </c>
      <c r="E18" s="23" t="inlineStr">
        <is>
          <t>Uplink VLAN</t>
        </is>
      </c>
      <c r="F18" s="23" t="inlineStr">
        <is>
          <t>Static</t>
        </is>
      </c>
      <c r="G18" s="23" t="inlineStr">
        <is>
          <t>All components</t>
        </is>
      </c>
      <c r="H18" s="23" t="inlineStr">
        <is>
          <t>DC-wide</t>
        </is>
      </c>
      <c r="I18" s="23" t="inlineStr">
        <is>
          <t>Outbound via Edge N-S path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8" customHeight="1" s="46">
      <c r="A19" s="26" t="inlineStr">
        <is>
          <t>RT-16</t>
        </is>
      </c>
      <c r="B19" s="26" t="inlineStr">
        <is>
          <t>NTP Server</t>
        </is>
      </c>
      <c r="C19" s="26">
        <f>'IP Input Sheet'!D61</f>
        <v/>
      </c>
      <c r="D19" s="26" t="inlineStr">
        <is>
          <t>Edge Node → ToR</t>
        </is>
      </c>
      <c r="E19" s="26" t="inlineStr">
        <is>
          <t>Uplink VLAN</t>
        </is>
      </c>
      <c r="F19" s="26" t="inlineStr">
        <is>
          <t>Static</t>
        </is>
      </c>
      <c r="G19" s="26" t="inlineStr">
        <is>
          <t>All components</t>
        </is>
      </c>
      <c r="H19" s="26" t="inlineStr">
        <is>
          <t>DC-wide</t>
        </is>
      </c>
      <c r="I19" s="26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8" customHeight="1" s="46">
      <c r="A20" s="23" t="inlineStr">
        <is>
          <t>RT-17</t>
        </is>
      </c>
      <c r="B20" s="23" t="inlineStr">
        <is>
          <t>AD/LDAP Server</t>
        </is>
      </c>
      <c r="C20" s="23">
        <f>'IP Input Sheet'!D62</f>
        <v/>
      </c>
      <c r="D20" s="23" t="inlineStr">
        <is>
          <t>Edge Node → ToR</t>
        </is>
      </c>
      <c r="E20" s="23" t="inlineStr">
        <is>
          <t>Uplink VLAN</t>
        </is>
      </c>
      <c r="F20" s="23" t="inlineStr">
        <is>
          <t>Static</t>
        </is>
      </c>
      <c r="G20" s="23" t="inlineStr">
        <is>
          <t>Fleet+Mgmt components</t>
        </is>
      </c>
      <c r="H20" s="23" t="inlineStr">
        <is>
          <t>DC-wide</t>
        </is>
      </c>
      <c r="I20" s="23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8" customHeight="1" s="46">
      <c r="A21" s="26" t="inlineStr">
        <is>
          <t>RT-18</t>
        </is>
      </c>
      <c r="B21" s="26" t="inlineStr">
        <is>
          <t>CA Certificate Server</t>
        </is>
      </c>
      <c r="C21" s="26">
        <f>'IP Input Sheet'!D63</f>
        <v/>
      </c>
      <c r="D21" s="26" t="inlineStr">
        <is>
          <t>Edge Node → ToR</t>
        </is>
      </c>
      <c r="E21" s="26" t="inlineStr">
        <is>
          <t>Uplink VLAN</t>
        </is>
      </c>
      <c r="F21" s="26" t="inlineStr">
        <is>
          <t>Static</t>
        </is>
      </c>
      <c r="G21" s="26" t="inlineStr">
        <is>
          <t>Fleet+Mgmt components</t>
        </is>
      </c>
      <c r="H21" s="26" t="inlineStr">
        <is>
          <t>DC-wide</t>
        </is>
      </c>
      <c r="I21" s="26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8" customHeight="1" s="46">
      <c r="A22" s="23" t="inlineStr">
        <is>
          <t>RT-19</t>
        </is>
      </c>
      <c r="B22" s="23" t="inlineStr">
        <is>
          <t>SFTP Backup Server</t>
        </is>
      </c>
      <c r="C22" s="23">
        <f>'IP Input Sheet'!D64</f>
        <v/>
      </c>
      <c r="D22" s="23" t="inlineStr">
        <is>
          <t>Edge Node → ToR</t>
        </is>
      </c>
      <c r="E22" s="23" t="inlineStr">
        <is>
          <t>Uplink VLAN</t>
        </is>
      </c>
      <c r="F22" s="23" t="inlineStr">
        <is>
          <t>Static</t>
        </is>
      </c>
      <c r="G22" s="23" t="inlineStr">
        <is>
          <t>SDDC Mgr / VCF Ops</t>
        </is>
      </c>
      <c r="H22" s="23" t="inlineStr">
        <is>
          <t>DC-wide</t>
        </is>
      </c>
      <c r="I22" s="23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8" customHeight="1" s="46">
      <c r="A23" s="26" t="inlineStr">
        <is>
          <t>RT-20</t>
        </is>
      </c>
      <c r="B23" s="26" t="inlineStr">
        <is>
          <t>Host TEP Subnet</t>
        </is>
      </c>
      <c r="C23" s="26" t="inlineStr">
        <is>
          <t>[VLAN TBD]</t>
        </is>
      </c>
      <c r="D23" s="26" t="inlineStr">
        <is>
          <t>Physical Fabric</t>
        </is>
      </c>
      <c r="E23" s="26" t="inlineStr">
        <is>
          <t>Host TEP VLAN</t>
        </is>
      </c>
      <c r="F23" s="37" t="inlineStr">
        <is>
          <t>VLAN</t>
        </is>
      </c>
      <c r="G23" s="26" t="inlineStr">
        <is>
          <t>NSX Host TEP</t>
        </is>
      </c>
      <c r="H23" s="26" t="inlineStr">
        <is>
          <t>Per AZ</t>
        </is>
      </c>
      <c r="I23" s="26" t="inlineStr">
        <is>
          <t>GENEVE encap  MTU must be 1600+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8" customHeight="1" s="46">
      <c r="A24" s="23" t="inlineStr">
        <is>
          <t>RT-21</t>
        </is>
      </c>
      <c r="B24" s="23" t="inlineStr">
        <is>
          <t>Edge TEP Subnet</t>
        </is>
      </c>
      <c r="C24" s="23" t="inlineStr">
        <is>
          <t>VLAN 2603</t>
        </is>
      </c>
      <c r="D24" s="23" t="inlineStr">
        <is>
          <t>Physical Fabric</t>
        </is>
      </c>
      <c r="E24" s="23" t="inlineStr">
        <is>
          <t>Edge TEP VLAN</t>
        </is>
      </c>
      <c r="F24" s="37" t="inlineStr">
        <is>
          <t>VLAN</t>
        </is>
      </c>
      <c r="G24" s="23" t="inlineStr">
        <is>
          <t>NSX Edge TEP</t>
        </is>
      </c>
      <c r="H24" s="23" t="inlineStr">
        <is>
          <t>Per AZ</t>
        </is>
      </c>
      <c r="I24" s="23" t="inlineStr">
        <is>
          <t>Edge nodes GENEVE tunnels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8" customHeight="1" s="46">
      <c r="A25" s="26" t="inlineStr">
        <is>
          <t>RT-22</t>
        </is>
      </c>
      <c r="B25" s="26" t="inlineStr">
        <is>
          <t>Remote TEP Subnet</t>
        </is>
      </c>
      <c r="C25" s="26" t="inlineStr">
        <is>
          <t>VLAN 2605</t>
        </is>
      </c>
      <c r="D25" s="26" t="inlineStr">
        <is>
          <t>Super Spine</t>
        </is>
      </c>
      <c r="E25" s="26" t="inlineStr">
        <is>
          <t>RTEP VLAN</t>
        </is>
      </c>
      <c r="F25" s="37" t="inlineStr">
        <is>
          <t>VLAN</t>
        </is>
      </c>
      <c r="G25" s="26" t="inlineStr">
        <is>
          <t>Cross-AZ tunnels</t>
        </is>
      </c>
      <c r="H25" s="26" t="inlineStr">
        <is>
          <t>DC-wide</t>
        </is>
      </c>
      <c r="I25" s="26" t="inlineStr">
        <is>
          <t>Cross-AZ NSX overlay RTEP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8" customHeight="1" s="46">
      <c r="A26" s="23" t="inlineStr">
        <is>
          <t>RT-23</t>
        </is>
      </c>
      <c r="B26" s="23" t="inlineStr">
        <is>
          <t>Super Spine</t>
        </is>
      </c>
      <c r="C26" s="23" t="inlineStr">
        <is>
          <t>[Physical]</t>
        </is>
      </c>
      <c r="D26" s="23" t="inlineStr">
        <is>
          <t>Physical Routing</t>
        </is>
      </c>
      <c r="E26" s="23" t="inlineStr">
        <is>
          <t>Uplink 2606/2607/2608/2609</t>
        </is>
      </c>
      <c r="F26" s="38" t="inlineStr">
        <is>
          <t>BGP</t>
        </is>
      </c>
      <c r="G26" s="23" t="inlineStr">
        <is>
          <t>All AZs</t>
        </is>
      </c>
      <c r="H26" s="23" t="inlineStr">
        <is>
          <t>DC-wide</t>
        </is>
      </c>
      <c r="I26" s="23" t="inlineStr">
        <is>
          <t>BGP between Edge nodes and ToR switches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8" customHeight="1" s="46">
      <c r="A27" s="26" t="inlineStr">
        <is>
          <t>RT-13</t>
        </is>
      </c>
      <c r="B27" s="26" t="inlineStr">
        <is>
          <t>VCF OPS Network Collector (M7)</t>
        </is>
      </c>
      <c r="C27" s="26">
        <f>IFERROR(IF('IP Input Sheet'!D19&lt;&gt;"",'IP Input Sheet'!D19,IF('IP Input Sheet'!E19&lt;&gt;"",'IP Input Sheet'!E19,'IP Input Sheet'!F19)),"[Enter IP]")</f>
        <v/>
      </c>
      <c r="D27" s="26" t="inlineStr">
        <is>
          <t>ToR Switch (per AZ)</t>
        </is>
      </c>
      <c r="E27" s="26" t="inlineStr">
        <is>
          <t>VLAN 2600</t>
        </is>
      </c>
      <c r="F27" s="26" t="inlineStr">
        <is>
          <t>Static</t>
        </is>
      </c>
      <c r="G27" s="26" t="inlineStr">
        <is>
          <t>VCF OPS Network Collector</t>
        </is>
      </c>
      <c r="H27" s="26" t="inlineStr">
        <is>
          <t>AZ1/AZ2</t>
        </is>
      </c>
      <c r="I27" s="26" t="inlineStr">
        <is>
          <t>M7 — Mgmt domain VLAN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8" customHeight="1" s="46">
      <c r="A28" s="23" t="inlineStr">
        <is>
          <t>RT-14</t>
        </is>
      </c>
      <c r="B28" s="23" t="inlineStr">
        <is>
          <t>NSX Edge Uplink — Rack1 VLAN 2606</t>
        </is>
      </c>
      <c r="C28" s="23">
        <f>'IP Input Sheet'!D22</f>
        <v/>
      </c>
      <c r="D28" s="23" t="inlineStr">
        <is>
          <t>ToR Rack1</t>
        </is>
      </c>
      <c r="E28" s="23" t="inlineStr">
        <is>
          <t>VLAN 2606 Uplink</t>
        </is>
      </c>
      <c r="F28" s="38" t="inlineStr">
        <is>
          <t>BGP Peer</t>
        </is>
      </c>
      <c r="G28" s="23" t="inlineStr">
        <is>
          <t>NSX Edge Node 1</t>
        </is>
      </c>
      <c r="H28" s="23" t="inlineStr">
        <is>
          <t>Per AZ</t>
        </is>
      </c>
      <c r="I28" s="23" t="inlineStr">
        <is>
          <t>Edge→ToR BGP peering — same /30 subnet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8" customHeight="1" s="46">
      <c r="A29" s="26" t="inlineStr">
        <is>
          <t>RT-15</t>
        </is>
      </c>
      <c r="B29" s="26" t="inlineStr">
        <is>
          <t>NSX Edge Uplink — Rack1 VLAN 2607</t>
        </is>
      </c>
      <c r="C29" s="26">
        <f>'IP Input Sheet'!D23</f>
        <v/>
      </c>
      <c r="D29" s="26" t="inlineStr">
        <is>
          <t>ToR Rack1</t>
        </is>
      </c>
      <c r="E29" s="26" t="inlineStr">
        <is>
          <t>VLAN 2607 Uplink</t>
        </is>
      </c>
      <c r="F29" s="38" t="inlineStr">
        <is>
          <t>BGP Peer</t>
        </is>
      </c>
      <c r="G29" s="26" t="inlineStr">
        <is>
          <t>NSX Edge Node 2</t>
        </is>
      </c>
      <c r="H29" s="26" t="inlineStr">
        <is>
          <t>Per AZ</t>
        </is>
      </c>
      <c r="I29" s="26" t="inlineStr">
        <is>
          <t>Edge→ToR BGP peering — same /30 subnet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8" customHeight="1" s="46">
      <c r="A30" s="23" t="inlineStr">
        <is>
          <t>RT-16</t>
        </is>
      </c>
      <c r="B30" s="23" t="inlineStr">
        <is>
          <t>NSX Edge Uplink — Rack2 VLAN 2608</t>
        </is>
      </c>
      <c r="C30" s="23">
        <f>'IP Input Sheet'!D24</f>
        <v/>
      </c>
      <c r="D30" s="23" t="inlineStr">
        <is>
          <t>ToR Rack2</t>
        </is>
      </c>
      <c r="E30" s="23" t="inlineStr">
        <is>
          <t>VLAN 2608 Uplink</t>
        </is>
      </c>
      <c r="F30" s="38" t="inlineStr">
        <is>
          <t>BGP Peer</t>
        </is>
      </c>
      <c r="G30" s="23" t="inlineStr">
        <is>
          <t>NSX Edge Node 1</t>
        </is>
      </c>
      <c r="H30" s="23" t="inlineStr">
        <is>
          <t>Per AZ</t>
        </is>
      </c>
      <c r="I30" s="23" t="inlineStr">
        <is>
          <t>Edge→ToR BGP peering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8" customHeight="1" s="46">
      <c r="A31" s="26" t="inlineStr">
        <is>
          <t>RT-17</t>
        </is>
      </c>
      <c r="B31" s="26" t="inlineStr">
        <is>
          <t>NSX Edge Uplink — Rack2 VLAN 2609</t>
        </is>
      </c>
      <c r="C31" s="26">
        <f>'IP Input Sheet'!D25</f>
        <v/>
      </c>
      <c r="D31" s="26" t="inlineStr">
        <is>
          <t>ToR Rack2</t>
        </is>
      </c>
      <c r="E31" s="26" t="inlineStr">
        <is>
          <t>VLAN 2609 Uplink</t>
        </is>
      </c>
      <c r="F31" s="38" t="inlineStr">
        <is>
          <t>BGP Peer</t>
        </is>
      </c>
      <c r="G31" s="26" t="inlineStr">
        <is>
          <t>NSX Edge Node 2</t>
        </is>
      </c>
      <c r="H31" s="26" t="inlineStr">
        <is>
          <t>Per AZ</t>
        </is>
      </c>
      <c r="I31" s="26" t="inlineStr">
        <is>
          <t>Edge→ToR BGP peering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8" customHeight="1" s="46">
      <c r="A32" s="23" t="inlineStr">
        <is>
          <t>RT-18</t>
        </is>
      </c>
      <c r="B32" s="23" t="inlineStr">
        <is>
          <t>Edge TEP Subnet (VLAN 2603)</t>
        </is>
      </c>
      <c r="C32" s="23">
        <f>IFERROR(IF('IP Input Sheet'!D30&lt;&gt;"",'IP Input Sheet'!D30,IF('IP Input Sheet'!E30&lt;&gt;"",'IP Input Sheet'!E30,'IP Input Sheet'!F30)),"[Enter IP]")</f>
        <v/>
      </c>
      <c r="D32" s="23" t="inlineStr">
        <is>
          <t>Physical Fabric</t>
        </is>
      </c>
      <c r="E32" s="23" t="inlineStr">
        <is>
          <t>Edge TEP VLAN 2603</t>
        </is>
      </c>
      <c r="F32" s="37" t="inlineStr">
        <is>
          <t>VLAN</t>
        </is>
      </c>
      <c r="G32" s="23" t="inlineStr">
        <is>
          <t>NSX Edge TEP</t>
        </is>
      </c>
      <c r="H32" s="23" t="inlineStr">
        <is>
          <t>Per AZ</t>
        </is>
      </c>
      <c r="I32" s="23" t="inlineStr">
        <is>
          <t>Intra-AZ HA + GENEVE — MTU 1600+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8" customHeight="1" s="46">
      <c r="A33" s="26" t="inlineStr">
        <is>
          <t>RT-19</t>
        </is>
      </c>
      <c r="B33" s="26" t="inlineStr">
        <is>
          <t>Remote TEP — Cross-AZ (VLAN 2605)</t>
        </is>
      </c>
      <c r="C33" s="26">
        <f>IFERROR(IF('IP Input Sheet'!D31&lt;&gt;"",'IP Input Sheet'!D31,IF('IP Input Sheet'!E31&lt;&gt;"",'IP Input Sheet'!E31,'IP Input Sheet'!F31)),"[Enter IP]")</f>
        <v/>
      </c>
      <c r="D33" s="26" t="inlineStr">
        <is>
          <t>Super Spine</t>
        </is>
      </c>
      <c r="E33" s="26" t="inlineStr">
        <is>
          <t>RTEP VLAN 2605</t>
        </is>
      </c>
      <c r="F33" s="37" t="inlineStr">
        <is>
          <t>VLAN</t>
        </is>
      </c>
      <c r="G33" s="26" t="inlineStr">
        <is>
          <t>Cross-AZ NSX Overlay</t>
        </is>
      </c>
      <c r="H33" s="26" t="inlineStr">
        <is>
          <t>DC-wide</t>
        </is>
      </c>
      <c r="I33" s="26" t="inlineStr">
        <is>
          <t>AZ1↔AZ2↔AZ3 GENEVE tunnels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8" customHeight="1" s="46">
      <c r="A34" s="23" t="inlineStr">
        <is>
          <t>RT-20</t>
        </is>
      </c>
      <c r="B34" s="23" t="inlineStr">
        <is>
          <t>ToR BGP Peer IPs</t>
        </is>
      </c>
      <c r="C34" s="23">
        <f>IFERROR(IF('IP Input Sheet'!D32&lt;&gt;"",'IP Input Sheet'!D32,IF('IP Input Sheet'!E32&lt;&gt;"",'IP Input Sheet'!E32,'IP Input Sheet'!F32)),"[Enter IP]")</f>
        <v/>
      </c>
      <c r="D34" s="23" t="inlineStr">
        <is>
          <t>Physical ToR Switch</t>
        </is>
      </c>
      <c r="E34" s="23" t="inlineStr">
        <is>
          <t>Uplink SVIs</t>
        </is>
      </c>
      <c r="F34" s="38" t="inlineStr">
        <is>
          <t>BGP</t>
        </is>
      </c>
      <c r="G34" s="23" t="inlineStr">
        <is>
          <t>ToR Switch (Network Team)</t>
        </is>
      </c>
      <c r="H34" s="23" t="inlineStr">
        <is>
          <t>Per AZ</t>
        </is>
      </c>
      <c r="I34" s="23" t="inlineStr">
        <is>
          <t>Get from network team — not Raju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8" customHeight="1" s="46">
      <c r="A35" s="29" t="inlineStr">
        <is>
          <t>RT-E1-EU1</t>
        </is>
      </c>
      <c r="B35" s="29" t="inlineStr">
        <is>
          <t>Edge 1 EU1 (VLAN 2606 Rack 1)</t>
        </is>
      </c>
      <c r="C35" s="29">
        <f>IFERROR(IF('IP Input Sheet'!D21&lt;&gt;"",'IP Input Sheet'!D21,IF('IP Input Sheet'!E21&lt;&gt;"",'IP Input Sheet'!E21,'IP Input Sheet'!F21)),"[Enter IP]")</f>
        <v/>
      </c>
      <c r="D35" s="29" t="inlineStr">
        <is>
          <t>ToR Rack 1 (EU11)</t>
        </is>
      </c>
      <c r="E35" s="29" t="inlineStr">
        <is>
          <t>VLAN 2606 SVI</t>
        </is>
      </c>
      <c r="F35" s="39" t="inlineStr">
        <is>
          <t>BGP Peer</t>
        </is>
      </c>
      <c r="G35" s="29" t="inlineStr">
        <is>
          <t>NSX Edge 1</t>
        </is>
      </c>
      <c r="H35" s="29" t="inlineStr">
        <is>
          <t>Per AZ</t>
        </is>
      </c>
      <c r="I35" s="29" t="inlineStr">
        <is>
          <t>EU1↔EU11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8" customHeight="1" s="46">
      <c r="A36" s="27" t="inlineStr">
        <is>
          <t>RT-E1-EU2</t>
        </is>
      </c>
      <c r="B36" s="27" t="inlineStr">
        <is>
          <t>Edge 1 EU2 (VLAN 2607 Rack 1)</t>
        </is>
      </c>
      <c r="C36" s="27">
        <f>IFERROR(IF('IP Input Sheet'!D22&lt;&gt;"",'IP Input Sheet'!D22,IF('IP Input Sheet'!E22&lt;&gt;"",'IP Input Sheet'!E22,'IP Input Sheet'!F22)),"[Enter IP]")</f>
        <v/>
      </c>
      <c r="D36" s="27" t="inlineStr">
        <is>
          <t>ToR Rack 1 (EU12)</t>
        </is>
      </c>
      <c r="E36" s="27" t="inlineStr">
        <is>
          <t>VLAN 2607 SVI</t>
        </is>
      </c>
      <c r="F36" s="39" t="inlineStr">
        <is>
          <t>BGP Peer</t>
        </is>
      </c>
      <c r="G36" s="27" t="inlineStr">
        <is>
          <t>NSX Edge 1</t>
        </is>
      </c>
      <c r="H36" s="27" t="inlineStr">
        <is>
          <t>Per AZ</t>
        </is>
      </c>
      <c r="I36" s="27" t="inlineStr">
        <is>
          <t>EU2↔EU12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8" customHeight="1" s="46">
      <c r="A37" s="29" t="inlineStr">
        <is>
          <t>RT-E2-EU3</t>
        </is>
      </c>
      <c r="B37" s="29" t="inlineStr">
        <is>
          <t>Edge 2 EU3 (VLAN 2606 Rack 1)</t>
        </is>
      </c>
      <c r="C37" s="29">
        <f>IFERROR(IF('IP Input Sheet'!D23&lt;&gt;"",'IP Input Sheet'!D23,IF('IP Input Sheet'!E23&lt;&gt;"",'IP Input Sheet'!E23,'IP Input Sheet'!F23)),"[Enter IP]")</f>
        <v/>
      </c>
      <c r="D37" s="29" t="inlineStr">
        <is>
          <t>ToR Rack 1 (EU11)</t>
        </is>
      </c>
      <c r="E37" s="29" t="inlineStr">
        <is>
          <t>VLAN 2606 SVI</t>
        </is>
      </c>
      <c r="F37" s="39" t="inlineStr">
        <is>
          <t>BGP Peer</t>
        </is>
      </c>
      <c r="G37" s="29" t="inlineStr">
        <is>
          <t>NSX Edge 2</t>
        </is>
      </c>
      <c r="H37" s="29" t="inlineStr">
        <is>
          <t>Per AZ</t>
        </is>
      </c>
      <c r="I37" s="29" t="inlineStr">
        <is>
          <t>EU3↔EU11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8" customHeight="1" s="46">
      <c r="A38" s="27" t="inlineStr">
        <is>
          <t>RT-E2-EU4</t>
        </is>
      </c>
      <c r="B38" s="27" t="inlineStr">
        <is>
          <t>Edge 2 EU4 (VLAN 2607 Rack 1)</t>
        </is>
      </c>
      <c r="C38" s="27">
        <f>IFERROR(IF('IP Input Sheet'!D24&lt;&gt;"",'IP Input Sheet'!D24,IF('IP Input Sheet'!E24&lt;&gt;"",'IP Input Sheet'!E24,'IP Input Sheet'!F24)),"[Enter IP]")</f>
        <v/>
      </c>
      <c r="D38" s="27" t="inlineStr">
        <is>
          <t>ToR Rack 1 (EU12)</t>
        </is>
      </c>
      <c r="E38" s="27" t="inlineStr">
        <is>
          <t>VLAN 2607 SVI</t>
        </is>
      </c>
      <c r="F38" s="39" t="inlineStr">
        <is>
          <t>BGP Peer</t>
        </is>
      </c>
      <c r="G38" s="27" t="inlineStr">
        <is>
          <t>NSX Edge 2</t>
        </is>
      </c>
      <c r="H38" s="27" t="inlineStr">
        <is>
          <t>Per AZ</t>
        </is>
      </c>
      <c r="I38" s="27" t="inlineStr">
        <is>
          <t>EU4↔EU12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8" customHeight="1" s="46">
      <c r="A39" s="29" t="inlineStr">
        <is>
          <t>RT-E3-EU5</t>
        </is>
      </c>
      <c r="B39" s="29" t="inlineStr">
        <is>
          <t>Edge 3 EU5 (VLAN 2608 Rack 2)</t>
        </is>
      </c>
      <c r="C39" s="29">
        <f>IFERROR(IF('IP Input Sheet'!D25&lt;&gt;"",'IP Input Sheet'!D25,IF('IP Input Sheet'!E25&lt;&gt;"",'IP Input Sheet'!E25,'IP Input Sheet'!F25)),"[Enter IP]")</f>
        <v/>
      </c>
      <c r="D39" s="29" t="inlineStr">
        <is>
          <t>ToR Rack 2 (EU13)</t>
        </is>
      </c>
      <c r="E39" s="29" t="inlineStr">
        <is>
          <t>VLAN 2608 SVI</t>
        </is>
      </c>
      <c r="F39" s="39" t="inlineStr">
        <is>
          <t>BGP Peer</t>
        </is>
      </c>
      <c r="G39" s="29" t="inlineStr">
        <is>
          <t>NSX Edge 3</t>
        </is>
      </c>
      <c r="H39" s="29" t="inlineStr">
        <is>
          <t>Per AZ</t>
        </is>
      </c>
      <c r="I39" s="29" t="inlineStr">
        <is>
          <t>EU5↔EU13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8" customHeight="1" s="46">
      <c r="A40" s="27" t="inlineStr">
        <is>
          <t>RT-E3-EU6</t>
        </is>
      </c>
      <c r="B40" s="27" t="inlineStr">
        <is>
          <t>Edge 3 EU6 (VLAN 2609 Rack 2)</t>
        </is>
      </c>
      <c r="C40" s="27">
        <f>IFERROR(IF('IP Input Sheet'!D26&lt;&gt;"",'IP Input Sheet'!D26,IF('IP Input Sheet'!E26&lt;&gt;"",'IP Input Sheet'!E26,'IP Input Sheet'!F26)),"[Enter IP]")</f>
        <v/>
      </c>
      <c r="D40" s="27" t="inlineStr">
        <is>
          <t>ToR Rack 2 (EU14)</t>
        </is>
      </c>
      <c r="E40" s="27" t="inlineStr">
        <is>
          <t>VLAN 2609 SVI</t>
        </is>
      </c>
      <c r="F40" s="39" t="inlineStr">
        <is>
          <t>BGP Peer</t>
        </is>
      </c>
      <c r="G40" s="27" t="inlineStr">
        <is>
          <t>NSX Edge 3</t>
        </is>
      </c>
      <c r="H40" s="27" t="inlineStr">
        <is>
          <t>Per AZ</t>
        </is>
      </c>
      <c r="I40" s="27" t="inlineStr">
        <is>
          <t>EU6↔EU14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8" customHeight="1" s="46">
      <c r="A41" s="29" t="inlineStr">
        <is>
          <t>RT-E4-EU7</t>
        </is>
      </c>
      <c r="B41" s="29" t="inlineStr">
        <is>
          <t>Edge 4 EU7 (VLAN 2608 Rack 2)</t>
        </is>
      </c>
      <c r="C41" s="29">
        <f>IFERROR(IF('IP Input Sheet'!D27&lt;&gt;"",'IP Input Sheet'!D27,IF('IP Input Sheet'!E27&lt;&gt;"",'IP Input Sheet'!E27,'IP Input Sheet'!F27)),"[Enter IP]")</f>
        <v/>
      </c>
      <c r="D41" s="29" t="inlineStr">
        <is>
          <t>ToR Rack 2 (EU13)</t>
        </is>
      </c>
      <c r="E41" s="29" t="inlineStr">
        <is>
          <t>VLAN 2608 SVI</t>
        </is>
      </c>
      <c r="F41" s="39" t="inlineStr">
        <is>
          <t>BGP Peer</t>
        </is>
      </c>
      <c r="G41" s="29" t="inlineStr">
        <is>
          <t>NSX Edge 4</t>
        </is>
      </c>
      <c r="H41" s="29" t="inlineStr">
        <is>
          <t>Per AZ</t>
        </is>
      </c>
      <c r="I41" s="29" t="inlineStr">
        <is>
          <t>EU7↔EU13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8" customHeight="1" s="46">
      <c r="A42" s="27" t="inlineStr">
        <is>
          <t>RT-E4-EU8</t>
        </is>
      </c>
      <c r="B42" s="27" t="inlineStr">
        <is>
          <t>Edge 4 EU8 (VLAN 2609 Rack 2)</t>
        </is>
      </c>
      <c r="C42" s="27">
        <f>IFERROR(IF('IP Input Sheet'!D28&lt;&gt;"",'IP Input Sheet'!D28,IF('IP Input Sheet'!E28&lt;&gt;"",'IP Input Sheet'!E28,'IP Input Sheet'!F28)),"[Enter IP]")</f>
        <v/>
      </c>
      <c r="D42" s="27" t="inlineStr">
        <is>
          <t>ToR Rack 2 (EU14)</t>
        </is>
      </c>
      <c r="E42" s="27" t="inlineStr">
        <is>
          <t>VLAN 2609 SVI</t>
        </is>
      </c>
      <c r="F42" s="39" t="inlineStr">
        <is>
          <t>BGP Peer</t>
        </is>
      </c>
      <c r="G42" s="27" t="inlineStr">
        <is>
          <t>NSX Edge 4</t>
        </is>
      </c>
      <c r="H42" s="27" t="inlineStr">
        <is>
          <t>Per AZ</t>
        </is>
      </c>
      <c r="I42" s="27" t="inlineStr">
        <is>
          <t>EU8↔EU14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8" customHeight="1" s="46">
      <c r="A43" s="29" t="inlineStr">
        <is>
          <t>RT-TEP</t>
        </is>
      </c>
      <c r="B43" s="29" t="inlineStr">
        <is>
          <t>Edge TEP Subnet (VLAN 2603)</t>
        </is>
      </c>
      <c r="C43" s="29">
        <f>IFERROR(IF('IP Input Sheet'!D29&lt;&gt;"",'IP Input Sheet'!D29,IF('IP Input Sheet'!E29&lt;&gt;"",'IP Input Sheet'!E29,'IP Input Sheet'!F29)),"[Enter IP]")</f>
        <v/>
      </c>
      <c r="D43" s="29" t="inlineStr">
        <is>
          <t>Physical Fabric</t>
        </is>
      </c>
      <c r="E43" s="29" t="inlineStr">
        <is>
          <t>Edge TEP VLAN 2603</t>
        </is>
      </c>
      <c r="F43" s="31" t="inlineStr">
        <is>
          <t>VLAN</t>
        </is>
      </c>
      <c r="G43" s="29" t="inlineStr">
        <is>
          <t>NSX Edge TEP</t>
        </is>
      </c>
      <c r="H43" s="29" t="inlineStr">
        <is>
          <t>Per AZ</t>
        </is>
      </c>
      <c r="I43" s="29" t="inlineStr">
        <is>
          <t>EU9 — GENEVE intra-AZ MTU 1600+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8" customHeight="1" s="46">
      <c r="A44" s="27" t="inlineStr">
        <is>
          <t>RT-RTEP</t>
        </is>
      </c>
      <c r="B44" s="27" t="inlineStr">
        <is>
          <t>Remote TEP Subnet (VLAN 2605)</t>
        </is>
      </c>
      <c r="C44" s="27">
        <f>IFERROR(IF('IP Input Sheet'!D30&lt;&gt;"",'IP Input Sheet'!D30,IF('IP Input Sheet'!E30&lt;&gt;"",'IP Input Sheet'!E30,'IP Input Sheet'!F30)),"[Enter IP]")</f>
        <v/>
      </c>
      <c r="D44" s="27" t="inlineStr">
        <is>
          <t>Super Spine</t>
        </is>
      </c>
      <c r="E44" s="27" t="inlineStr">
        <is>
          <t>RTEP VLAN 2605</t>
        </is>
      </c>
      <c r="F44" s="31" t="inlineStr">
        <is>
          <t>VLAN</t>
        </is>
      </c>
      <c r="G44" s="27" t="inlineStr">
        <is>
          <t>Cross-AZ Overlay</t>
        </is>
      </c>
      <c r="H44" s="27" t="inlineStr">
        <is>
          <t>DC-wide</t>
        </is>
      </c>
      <c r="I44" s="27" t="inlineStr">
        <is>
          <t>EU10 — AZ1↔AZ2↔AZ3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46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46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46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46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46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46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46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46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46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46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46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46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46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46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46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46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46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46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46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46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46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46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46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46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46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46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46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46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46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46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46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46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46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46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46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46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46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46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46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46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46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46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46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46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46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46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46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46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46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46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46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46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46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46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46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46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46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46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46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46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46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46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46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46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46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46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46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46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46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46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46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46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46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46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46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46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46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46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46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46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46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46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46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46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46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46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46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46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46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46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46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46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46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46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46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46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46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46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46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46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46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46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46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46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46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46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46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46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46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46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46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46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46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46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46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46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46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46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46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46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46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46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46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46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46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46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46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46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46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46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46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46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46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46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46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46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46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46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46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46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46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46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46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46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46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46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46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46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46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46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46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46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46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46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46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46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46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46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46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46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46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46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46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46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46">
      <c r="A209" s="13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46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46">
      <c r="A211" s="13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46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46">
      <c r="A213" s="13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46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46">
      <c r="A215" s="13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46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46">
      <c r="A217" s="13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46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46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46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46">
      <c r="A221" s="13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46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46">
      <c r="A223" s="13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46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46">
      <c r="A225" s="13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46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46">
      <c r="A227" s="13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46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46">
      <c r="A229" s="13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46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46">
      <c r="A231" s="13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46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46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46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46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46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46">
      <c r="A237" s="13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46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46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46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46">
      <c r="A241" s="13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46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46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46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46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46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46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46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46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46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46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46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46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46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4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46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46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46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46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46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46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46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46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46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4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46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46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46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46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46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46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46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46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46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4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46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46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46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46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46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46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46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46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46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4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46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46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46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46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46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46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46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46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46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4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46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46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46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46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46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46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46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46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46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4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46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46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46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46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46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46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46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46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46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4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46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46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46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46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46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46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46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46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46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4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46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46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46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46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46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46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46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46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46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4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46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46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46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46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46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46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46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46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46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46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46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46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46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46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46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46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46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46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4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46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46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46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46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46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46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46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46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46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4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46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46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46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46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46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46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46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46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46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4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46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46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46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46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46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46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46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46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46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4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46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46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46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46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46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46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46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46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46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4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46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46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46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46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46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46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46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46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46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4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46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46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46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46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46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46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46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46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46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4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46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46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46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46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46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46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46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46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46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4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46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46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46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46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46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46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46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46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46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4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46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46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46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46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46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46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46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46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46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46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46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46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46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46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46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46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46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46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4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46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46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46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46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46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46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46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46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46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4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46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46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46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46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46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46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46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46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46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4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46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46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46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46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46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46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46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46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46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4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46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46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46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46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46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46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46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46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46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4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46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46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46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46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46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46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46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46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46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4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46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46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46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46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46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46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46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46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46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4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46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46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46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46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46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46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46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46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46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4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46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46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46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46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46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46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46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46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46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4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46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46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46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46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46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46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46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46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46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4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46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46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46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46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46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46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46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46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46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4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46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46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46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46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46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46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46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46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46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4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46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46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46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46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46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46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46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46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46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4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46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46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46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46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46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46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46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46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46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4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46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46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46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46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46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46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46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46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46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4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46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46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46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46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46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46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46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46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46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4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46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46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46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46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46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46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46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46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46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4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46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46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46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46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46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46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46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46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46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4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46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46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46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46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46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46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46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46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46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4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46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46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46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46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46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46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46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46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46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4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46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46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46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46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46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46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46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46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46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4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46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46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46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46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46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46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46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46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46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4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46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46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46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46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46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46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46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46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46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4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46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46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46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46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46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46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46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46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46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4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46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46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46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46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46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46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46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46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46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4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46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46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46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46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46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46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46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46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46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4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46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46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46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46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46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46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46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46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46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4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46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46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46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46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46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46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46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46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46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4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46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46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46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46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46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46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46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46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46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4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46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46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46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46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46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46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46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46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46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4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46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46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46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46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46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46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46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46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46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4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46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46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46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46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46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46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46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46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46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4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46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46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46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46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46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46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46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46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46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4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46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46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46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46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46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46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46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46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46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4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46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46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46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46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46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46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46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46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46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4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46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46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46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46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46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46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46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46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46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4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46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46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46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46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46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46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46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46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46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4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46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46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46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46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46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46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46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46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46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4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46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46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46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46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46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46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46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46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46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4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46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46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46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46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46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46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46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46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46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4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46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46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46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46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46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46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46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46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46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4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46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46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46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46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46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46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46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46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46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4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46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46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46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46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46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46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46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46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46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4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46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46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46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46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46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46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46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46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46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4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46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46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46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46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46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46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46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46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46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4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46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46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46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46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46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46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46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46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46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4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46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46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46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46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46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46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46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46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46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4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46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46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46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46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46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46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46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46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46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4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46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46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46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46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46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46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46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46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46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4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46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46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46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46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46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46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46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46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46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4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46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46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46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46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46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46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46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46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46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4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46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46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46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46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46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46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46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46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46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4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46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46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46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46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46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46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46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46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46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4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46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46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46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46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46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46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46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46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46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4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46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46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46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46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46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46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46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46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46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4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46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46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46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46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mergeCells count="2">
    <mergeCell ref="A1:I1"/>
    <mergeCell ref="A2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404040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000030517578" defaultRowHeight="15"/>
  <cols>
    <col width="12" customWidth="1" style="46" min="1" max="1"/>
    <col width="10" customWidth="1" style="46" min="2" max="2"/>
    <col width="26" customWidth="1" style="46" min="3" max="3"/>
    <col width="36" customWidth="1" style="46" min="4" max="5"/>
    <col width="44" customWidth="1" style="46" min="6" max="6"/>
  </cols>
  <sheetData>
    <row r="1" ht="27.75" customHeight="1" s="46">
      <c r="A1" s="52" t="inlineStr">
        <is>
          <t>AES-220  |  Unique Port Reference  |  All Fleet Firewall Ports Consolidated</t>
        </is>
      </c>
      <c r="B1" s="48" t="n"/>
      <c r="C1" s="48" t="n"/>
      <c r="D1" s="48" t="n"/>
      <c r="E1" s="48" t="n"/>
      <c r="F1" s="48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21.75" customHeight="1" s="46">
      <c r="A2" s="6" t="inlineStr">
        <is>
          <t>Port</t>
        </is>
      </c>
      <c r="B2" s="6" t="inlineStr">
        <is>
          <t>Protocol</t>
        </is>
      </c>
      <c r="C2" s="6" t="inlineStr">
        <is>
          <t>Service</t>
        </is>
      </c>
      <c r="D2" s="6" t="inlineStr">
        <is>
          <t>Used By (Source)</t>
        </is>
      </c>
      <c r="E2" s="6" t="inlineStr">
        <is>
          <t>Used By (Destination)</t>
        </is>
      </c>
      <c r="F2" s="6" t="inlineStr">
        <is>
          <t>Notes</t>
        </is>
      </c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21.75" customHeight="1" s="46">
      <c r="A3" s="40" t="inlineStr">
        <is>
          <t>22</t>
        </is>
      </c>
      <c r="B3" s="26" t="inlineStr">
        <is>
          <t>TCP</t>
        </is>
      </c>
      <c r="C3" s="26" t="inlineStr">
        <is>
          <t>SSH</t>
        </is>
      </c>
      <c r="D3" s="26" t="inlineStr">
        <is>
          <t>VCF Installer, SDDC Mgr, Fleet Mgr, VCFA, VCFO</t>
        </is>
      </c>
      <c r="E3" s="26" t="inlineStr">
        <is>
          <t>ESXi, SDDC Mgr, Fleet VMs, SFTP</t>
        </is>
      </c>
      <c r="F3" s="26" t="inlineStr">
        <is>
          <t>Admin only restrict to jump host / bastion</t>
        </is>
      </c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21.75" customHeight="1" s="46">
      <c r="A4" s="41" t="inlineStr">
        <is>
          <t>50</t>
        </is>
      </c>
      <c r="B4" s="23" t="inlineStr">
        <is>
          <t>ESP</t>
        </is>
      </c>
      <c r="C4" s="23" t="inlineStr">
        <is>
          <t>Encapsulating Security Payload</t>
        </is>
      </c>
      <c r="D4" s="23" t="inlineStr">
        <is>
          <t>Identity Broker</t>
        </is>
      </c>
      <c r="E4" s="23" t="inlineStr">
        <is>
          <t>ALL</t>
        </is>
      </c>
      <c r="F4" s="23" t="inlineStr">
        <is>
          <t>Used by k8s to encapsulate hidden networks — bidirectional</t>
        </is>
      </c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21.75" customHeight="1" s="46">
      <c r="A5" s="40" t="inlineStr">
        <is>
          <t>53</t>
        </is>
      </c>
      <c r="B5" s="26" t="inlineStr">
        <is>
          <t>TCP/UDP</t>
        </is>
      </c>
      <c r="C5" s="26" t="inlineStr">
        <is>
          <t>DNS</t>
        </is>
      </c>
      <c r="D5" s="26" t="inlineStr">
        <is>
          <t>All Fleet + VCF Components</t>
        </is>
      </c>
      <c r="E5" s="26" t="inlineStr">
        <is>
          <t>DNS Servers</t>
        </is>
      </c>
      <c r="F5" s="26" t="inlineStr">
        <is>
          <t>Bidirectional  ALL Fleet-level and VCF instance-level</t>
        </is>
      </c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21.75" customHeight="1" s="46">
      <c r="A6" s="41" t="inlineStr">
        <is>
          <t>123</t>
        </is>
      </c>
      <c r="B6" s="23" t="inlineStr">
        <is>
          <t>UDP</t>
        </is>
      </c>
      <c r="C6" s="23" t="inlineStr">
        <is>
          <t>NTP</t>
        </is>
      </c>
      <c r="D6" s="23" t="inlineStr">
        <is>
          <t>All Fleet + VCF Components</t>
        </is>
      </c>
      <c r="E6" s="23" t="inlineStr">
        <is>
          <t>NTP Servers</t>
        </is>
      </c>
      <c r="F6" s="23" t="inlineStr">
        <is>
          <t>Time sync  ALL VCF 9 components</t>
        </is>
      </c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21.75" customHeight="1" s="46">
      <c r="A7" s="40" t="inlineStr">
        <is>
          <t>161</t>
        </is>
      </c>
      <c r="B7" s="26" t="inlineStr">
        <is>
          <t>TCP</t>
        </is>
      </c>
      <c r="C7" s="26" t="inlineStr">
        <is>
          <t>SNMP</t>
        </is>
      </c>
      <c r="D7" s="26" t="inlineStr">
        <is>
          <t>VCF Ops for Networks (VON)</t>
        </is>
      </c>
      <c r="E7" s="26" t="inlineStr">
        <is>
          <t>Switches/Routers</t>
        </is>
      </c>
      <c r="F7" s="26" t="inlineStr">
        <is>
          <t>SNMP polling physical devices</t>
        </is>
      </c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21.75" customHeight="1" s="46">
      <c r="A8" s="41" t="inlineStr">
        <is>
          <t>389</t>
        </is>
      </c>
      <c r="B8" s="23" t="inlineStr">
        <is>
          <t>TCP/UDP</t>
        </is>
      </c>
      <c r="C8" s="23" t="inlineStr">
        <is>
          <t>LDAP</t>
        </is>
      </c>
      <c r="D8" s="23" t="inlineStr">
        <is>
          <t>VCF Ops, Identity Broker, vCenter</t>
        </is>
      </c>
      <c r="E8" s="23" t="inlineStr">
        <is>
          <t>AD/LDAP Servers</t>
        </is>
      </c>
      <c r="F8" s="23" t="inlineStr">
        <is>
          <t>Directory lookups Active Directory integration</t>
        </is>
      </c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21.75" customHeight="1" s="46">
      <c r="A9" s="40" t="inlineStr">
        <is>
          <t>443</t>
        </is>
      </c>
      <c r="B9" s="26" t="inlineStr">
        <is>
          <t>TCP</t>
        </is>
      </c>
      <c r="C9" s="26" t="inlineStr">
        <is>
          <t>HTTPS</t>
        </is>
      </c>
      <c r="D9" s="26" t="inlineStr">
        <is>
          <t>All Fleet + Mgmt Components</t>
        </is>
      </c>
      <c r="E9" s="26" t="inlineStr">
        <is>
          <t>All Fleet + Mgmt Components</t>
        </is>
      </c>
      <c r="F9" s="26" t="inlineStr">
        <is>
          <t>Primary management port — all component comms incl. VLR SSO registration + site pair</t>
        </is>
      </c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21.75" customHeight="1" s="46">
      <c r="A10" s="41" t="inlineStr">
        <is>
          <t>514</t>
        </is>
      </c>
      <c r="B10" s="23" t="inlineStr">
        <is>
          <t>TCP/UDP</t>
        </is>
      </c>
      <c r="C10" s="23" t="inlineStr">
        <is>
          <t>Syslog</t>
        </is>
      </c>
      <c r="D10" s="23" t="inlineStr">
        <is>
          <t>vCenter, NSX, SDDC, ESXi, VCFA</t>
        </is>
      </c>
      <c r="E10" s="23" t="inlineStr">
        <is>
          <t>VCF Ops for Logs (VOL)</t>
        </is>
      </c>
      <c r="F10" s="23" t="inlineStr">
        <is>
          <t>Remote syslog  all components log to VOL</t>
        </is>
      </c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21.75" customHeight="1" s="46">
      <c r="A11" s="40" t="inlineStr">
        <is>
          <t>636</t>
        </is>
      </c>
      <c r="B11" s="26" t="inlineStr">
        <is>
          <t>TCP</t>
        </is>
      </c>
      <c r="C11" s="26" t="inlineStr">
        <is>
          <t>LDAPS</t>
        </is>
      </c>
      <c r="D11" s="26" t="inlineStr">
        <is>
          <t>VCF Ops, Identity Broker, vCenter</t>
        </is>
      </c>
      <c r="E11" s="26" t="inlineStr">
        <is>
          <t>AD/LDAP Servers</t>
        </is>
      </c>
      <c r="F11" s="26" t="inlineStr">
        <is>
          <t>Secure LDAP</t>
        </is>
      </c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21.75" customHeight="1" s="46">
      <c r="A12" s="41" t="inlineStr">
        <is>
          <t>902</t>
        </is>
      </c>
      <c r="B12" s="23" t="inlineStr">
        <is>
          <t>TCP</t>
        </is>
      </c>
      <c r="C12" s="23" t="inlineStr">
        <is>
          <t>Heartbeat / VMRC</t>
        </is>
      </c>
      <c r="D12" s="23" t="inlineStr">
        <is>
          <t>vCenter, VCF Automation, VMware Live Recovery (VLR)</t>
        </is>
      </c>
      <c r="E12" s="23" t="inlineStr">
        <is>
          <t>ESXi Hosts</t>
        </is>
      </c>
      <c r="F12" s="23" t="inlineStr">
        <is>
          <t>Core mgmt comms vCenter↔ESXi + VM console + VLR VMkernel heartbeat</t>
        </is>
      </c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21.75" customHeight="1" s="46">
      <c r="A13" s="40" t="inlineStr">
        <is>
          <t>1514</t>
        </is>
      </c>
      <c r="B13" s="26" t="inlineStr">
        <is>
          <t>TCP</t>
        </is>
      </c>
      <c r="C13" s="26" t="inlineStr">
        <is>
          <t>Syslog over TLS</t>
        </is>
      </c>
      <c r="D13" s="26" t="inlineStr">
        <is>
          <t>vCenter, NSX, ESXi, VCFA</t>
        </is>
      </c>
      <c r="E13" s="26" t="inlineStr">
        <is>
          <t>VCF Ops for Logs (VOL)</t>
        </is>
      </c>
      <c r="F13" s="26" t="inlineStr">
        <is>
          <t>Secure syslog TLS</t>
        </is>
      </c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21.75" customHeight="1" s="46">
      <c r="A14" s="41" t="inlineStr">
        <is>
          <t>2055</t>
        </is>
      </c>
      <c r="B14" s="23" t="inlineStr">
        <is>
          <t>TCP/UDP</t>
        </is>
      </c>
      <c r="C14" s="23" t="inlineStr">
        <is>
          <t>IPFIX (deprecated)</t>
        </is>
      </c>
      <c r="D14" s="23" t="inlineStr">
        <is>
          <t>vCenter, VON</t>
        </is>
      </c>
      <c r="E14" s="23" t="inlineStr">
        <is>
          <t>vDS/NSX</t>
        </is>
      </c>
      <c r="F14" s="23" t="inlineStr">
        <is>
          <t>Deprecated use port 4739 instead</t>
        </is>
      </c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21.75" customHeight="1" s="46">
      <c r="A15" s="40" t="inlineStr">
        <is>
          <t>3268/3269</t>
        </is>
      </c>
      <c r="B15" s="26" t="inlineStr">
        <is>
          <t>TCP</t>
        </is>
      </c>
      <c r="C15" s="26" t="inlineStr">
        <is>
          <t>Global Catalog</t>
        </is>
      </c>
      <c r="D15" s="26" t="inlineStr">
        <is>
          <t>VCF Operations</t>
        </is>
      </c>
      <c r="E15" s="26" t="inlineStr">
        <is>
          <t>AD/LDAP Servers</t>
        </is>
      </c>
      <c r="F15" s="26" t="inlineStr">
        <is>
          <t>AD Global Catalog lookup</t>
        </is>
      </c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21.75" customHeight="1" s="46">
      <c r="A16" s="41" t="inlineStr">
        <is>
          <t>4739</t>
        </is>
      </c>
      <c r="B16" s="23" t="inlineStr">
        <is>
          <t>TCP/UDP</t>
        </is>
      </c>
      <c r="C16" s="23" t="inlineStr">
        <is>
          <t>IPFIX + NETFLOW</t>
        </is>
      </c>
      <c r="D16" s="23" t="inlineStr">
        <is>
          <t>ESXi, VON</t>
        </is>
      </c>
      <c r="E16" s="23" t="inlineStr">
        <is>
          <t>VON, NSX</t>
        </is>
      </c>
      <c r="F16" s="23" t="inlineStr">
        <is>
          <t>Flow analysis replace 2055</t>
        </is>
      </c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21.75" customHeight="1" s="46">
      <c r="A17" s="40" t="inlineStr">
        <is>
          <t>6443</t>
        </is>
      </c>
      <c r="B17" s="26" t="inlineStr">
        <is>
          <t>TCP</t>
        </is>
      </c>
      <c r="C17" s="26" t="inlineStr">
        <is>
          <t>Kubernetes API</t>
        </is>
      </c>
      <c r="D17" s="26" t="inlineStr">
        <is>
          <t>Fleet Mgr, VCF Automation</t>
        </is>
      </c>
      <c r="E17" s="26" t="inlineStr">
        <is>
          <t>Identity Broker, VCFA</t>
        </is>
      </c>
      <c r="F17" s="26" t="inlineStr">
        <is>
          <t>Kubernetes control plane API server</t>
        </is>
      </c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21.75" customHeight="1" s="46">
      <c r="A18" s="41" t="inlineStr">
        <is>
          <t>6514</t>
        </is>
      </c>
      <c r="B18" s="23" t="inlineStr">
        <is>
          <t>TCP</t>
        </is>
      </c>
      <c r="C18" s="23" t="inlineStr">
        <is>
          <t>Syslog over SSL</t>
        </is>
      </c>
      <c r="D18" s="23" t="inlineStr">
        <is>
          <t>NSX Manager, VCFA</t>
        </is>
      </c>
      <c r="E18" s="23" t="inlineStr">
        <is>
          <t>VCF Ops for Logs</t>
        </is>
      </c>
      <c r="F18" s="23" t="inlineStr">
        <is>
          <t>Syslog SSL</t>
        </is>
      </c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21.75" customHeight="1" s="46">
      <c r="A19" s="40" t="inlineStr">
        <is>
          <t>8008</t>
        </is>
      </c>
      <c r="B19" s="26" t="inlineStr">
        <is>
          <t>TCP</t>
        </is>
      </c>
      <c r="C19" s="26" t="inlineStr">
        <is>
          <t>Health Check</t>
        </is>
      </c>
      <c r="D19" s="26" t="inlineStr">
        <is>
          <t>VCF Ops Fleet Manager</t>
        </is>
      </c>
      <c r="E19" s="26" t="inlineStr">
        <is>
          <t>VCF Automation</t>
        </is>
      </c>
      <c r="F19" s="26" t="inlineStr">
        <is>
          <t>VCFA health monitoring</t>
        </is>
      </c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21.75" customHeight="1" s="46">
      <c r="A20" s="41" t="inlineStr">
        <is>
          <t>8443</t>
        </is>
      </c>
      <c r="B20" s="23" t="inlineStr">
        <is>
          <t>TCP</t>
        </is>
      </c>
      <c r="C20" s="23" t="inlineStr">
        <is>
          <t>Node Manager</t>
        </is>
      </c>
      <c r="D20" s="23" t="inlineStr">
        <is>
          <t>VCF Installer, SDDC Mgr</t>
        </is>
      </c>
      <c r="E20" s="23" t="inlineStr">
        <is>
          <t>SDDC Manager, VCFO</t>
        </is>
      </c>
      <c r="F20" s="23" t="inlineStr">
        <is>
          <t>Internal service comms bringup</t>
        </is>
      </c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21.75" customHeight="1" s="46">
      <c r="A21" s="40" t="inlineStr">
        <is>
          <t>9000</t>
        </is>
      </c>
      <c r="B21" s="26" t="inlineStr">
        <is>
          <t>TCP</t>
        </is>
      </c>
      <c r="C21" s="26" t="inlineStr">
        <is>
          <t>Log Ingestion API</t>
        </is>
      </c>
      <c r="D21" s="26" t="inlineStr">
        <is>
          <t>SDDC Mgr, VCFA</t>
        </is>
      </c>
      <c r="E21" s="26" t="inlineStr">
        <is>
          <t>VCF Ops for Logs</t>
        </is>
      </c>
      <c r="F21" s="26" t="inlineStr">
        <is>
          <t>CFAPI — unencrypted; prefer 9543</t>
        </is>
      </c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21.75" customHeight="1" s="46">
      <c r="A22" s="41" t="inlineStr">
        <is>
          <t>9443</t>
        </is>
      </c>
      <c r="B22" s="23" t="inlineStr">
        <is>
          <t>TCP</t>
        </is>
      </c>
      <c r="C22" s="23" t="inlineStr">
        <is>
          <t>Lifecycle Mgmt</t>
        </is>
      </c>
      <c r="D22" s="23" t="inlineStr">
        <is>
          <t>VCF Installer</t>
        </is>
      </c>
      <c r="E22" s="23" t="inlineStr">
        <is>
          <t>SDDC Manager</t>
        </is>
      </c>
      <c r="F22" s="23" t="inlineStr">
        <is>
          <t>vSphere webclient + LCM bringup</t>
        </is>
      </c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21.75" customHeight="1" s="46">
      <c r="A23" s="40" t="inlineStr">
        <is>
          <t>9543</t>
        </is>
      </c>
      <c r="B23" s="26" t="inlineStr">
        <is>
          <t>TCP</t>
        </is>
      </c>
      <c r="C23" s="26" t="inlineStr">
        <is>
          <t>Secure Log Ingestion</t>
        </is>
      </c>
      <c r="D23" s="26" t="inlineStr">
        <is>
          <t>SDDC Mgr, VCFA</t>
        </is>
      </c>
      <c r="E23" s="26" t="inlineStr">
        <is>
          <t>VCF Ops for Logs</t>
        </is>
      </c>
      <c r="F23" s="26" t="inlineStr">
        <is>
          <t>CFAPI over SSL — preferred over 9000</t>
        </is>
      </c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21.75" customHeight="1" s="46">
      <c r="A24" s="41" t="inlineStr">
        <is>
          <t>10443</t>
        </is>
      </c>
      <c r="B24" s="23" t="inlineStr">
        <is>
          <t>TCP</t>
        </is>
      </c>
      <c r="C24" s="23" t="inlineStr">
        <is>
          <t>vCenter Inventory</t>
        </is>
      </c>
      <c r="D24" s="23" t="inlineStr">
        <is>
          <t>VCF Operations</t>
        </is>
      </c>
      <c r="E24" s="23" t="inlineStr">
        <is>
          <t>vCenter Server</t>
        </is>
      </c>
      <c r="F24" s="23" t="inlineStr">
        <is>
          <t>Inventory service</t>
        </is>
      </c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21.75" customHeight="1" s="46">
      <c r="A25" s="40" t="inlineStr">
        <is>
          <t>30000</t>
        </is>
      </c>
      <c r="B25" s="26" t="inlineStr">
        <is>
          <t>TCP</t>
        </is>
      </c>
      <c r="C25" s="26" t="inlineStr">
        <is>
          <t>Container Images</t>
        </is>
      </c>
      <c r="D25" s="26" t="inlineStr">
        <is>
          <t>Fleet Mgr</t>
        </is>
      </c>
      <c r="E25" s="26" t="inlineStr">
        <is>
          <t>VCFA + VIDB</t>
        </is>
      </c>
      <c r="F25" s="26" t="inlineStr">
        <is>
          <t>k8s/VKS OCI registry</t>
        </is>
      </c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21.75" customHeight="1" s="46">
      <c r="A26" s="41" t="inlineStr">
        <is>
          <t>30001</t>
        </is>
      </c>
      <c r="B26" s="23" t="inlineStr">
        <is>
          <t>TCP</t>
        </is>
      </c>
      <c r="C26" s="23" t="inlineStr">
        <is>
          <t>Container Images</t>
        </is>
      </c>
      <c r="D26" s="23" t="inlineStr">
        <is>
          <t>Fleet Mgr</t>
        </is>
      </c>
      <c r="E26" s="23" t="inlineStr">
        <is>
          <t>VCFA + VIDB</t>
        </is>
      </c>
      <c r="F26" s="23" t="inlineStr">
        <is>
          <t>k8s/VKS OCI registry</t>
        </is>
      </c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21.75" customHeight="1" s="46">
      <c r="A27" s="40" t="inlineStr">
        <is>
          <t>30005</t>
        </is>
      </c>
      <c r="B27" s="26" t="inlineStr">
        <is>
          <t>TCP</t>
        </is>
      </c>
      <c r="C27" s="26" t="inlineStr">
        <is>
          <t>VCFA/VIDB API</t>
        </is>
      </c>
      <c r="D27" s="26" t="inlineStr">
        <is>
          <t>Fleet Mgr</t>
        </is>
      </c>
      <c r="E27" s="26" t="inlineStr">
        <is>
          <t>VCFA + VIDB</t>
        </is>
      </c>
      <c r="F27" s="26" t="inlineStr">
        <is>
          <t>Webhooks  day2 ops triggers</t>
        </is>
      </c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21.75" customHeight="1" s="46">
      <c r="A28" s="41" t="inlineStr">
        <is>
          <t>30006</t>
        </is>
      </c>
      <c r="B28" s="23" t="inlineStr">
        <is>
          <t>TCP</t>
        </is>
      </c>
      <c r="C28" s="23" t="inlineStr">
        <is>
          <t>Health Validation</t>
        </is>
      </c>
      <c r="D28" s="23" t="inlineStr">
        <is>
          <t>Fleet Mgr</t>
        </is>
      </c>
      <c r="E28" s="23" t="inlineStr">
        <is>
          <t>VCFA + VIDB</t>
        </is>
      </c>
      <c r="F28" s="23" t="inlineStr">
        <is>
          <t>Pre-LCM health check</t>
        </is>
      </c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21.75" customHeight="1" s="46">
      <c r="A29" s="40" t="inlineStr">
        <is>
          <t>ICMP</t>
        </is>
      </c>
      <c r="B29" s="26" t="inlineStr">
        <is>
          <t>ICMP</t>
        </is>
      </c>
      <c r="C29" s="26" t="inlineStr">
        <is>
          <t>Ping/Traceroute</t>
        </is>
      </c>
      <c r="D29" s="26" t="inlineStr">
        <is>
          <t>ALL Fleet + Mgmt Components</t>
        </is>
      </c>
      <c r="E29" s="26" t="inlineStr">
        <is>
          <t>ALL Fleet + Mgmt Components</t>
        </is>
      </c>
      <c r="F29" s="26" t="inlineStr">
        <is>
          <t>MANDATORY  ALL fleet-level &amp; VCF instance-level components</t>
        </is>
      </c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21.75" customHeight="1" s="46">
      <c r="A30" s="41" t="inlineStr">
        <is>
          <t>179</t>
        </is>
      </c>
      <c r="B30" s="23" t="inlineStr">
        <is>
          <t>TCP</t>
        </is>
      </c>
      <c r="C30" s="23" t="inlineStr">
        <is>
          <t>BGP</t>
        </is>
      </c>
      <c r="D30" s="23" t="inlineStr">
        <is>
          <t>NSX Edge Nodes</t>
        </is>
      </c>
      <c r="E30" s="23" t="inlineStr">
        <is>
          <t>ToR Switches (BGP Peers)</t>
        </is>
      </c>
      <c r="F30" s="23" t="inlineStr">
        <is>
          <t>Edge→ToR BGP peering — must be allowed at Gateway FW</t>
        </is>
      </c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21.75" customHeight="1" s="46">
      <c r="A31" s="40" t="inlineStr">
        <is>
          <t>3784/3785</t>
        </is>
      </c>
      <c r="B31" s="26" t="inlineStr">
        <is>
          <t>UDP</t>
        </is>
      </c>
      <c r="C31" s="26" t="inlineStr">
        <is>
          <t>BFD</t>
        </is>
      </c>
      <c r="D31" s="26" t="inlineStr">
        <is>
          <t>NSX Edge Nodes</t>
        </is>
      </c>
      <c r="E31" s="26" t="inlineStr">
        <is>
          <t>ToR Switches</t>
        </is>
      </c>
      <c r="F31" s="26" t="inlineStr">
        <is>
          <t>Bidirectional Forwarding Detection — fast BGP failover</t>
        </is>
      </c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21.75" customHeight="1" s="46">
      <c r="A32" s="41" t="inlineStr">
        <is>
          <t>4789</t>
        </is>
      </c>
      <c r="B32" s="23" t="inlineStr">
        <is>
          <t>UDP</t>
        </is>
      </c>
      <c r="C32" s="23" t="inlineStr">
        <is>
          <t>GENEVE/VXLAN TEP</t>
        </is>
      </c>
      <c r="D32" s="23" t="inlineStr">
        <is>
          <t>NSX Edge TEP</t>
        </is>
      </c>
      <c r="E32" s="23" t="inlineStr">
        <is>
          <t>NSX Host TEP</t>
        </is>
      </c>
      <c r="F32" s="23" t="inlineStr">
        <is>
          <t>Overlay encapsulation — MTU 1600+ required</t>
        </is>
      </c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21.75" customHeight="1" s="46">
      <c r="A33" s="40" t="inlineStr">
        <is>
          <t>179</t>
        </is>
      </c>
      <c r="B33" s="29" t="inlineStr">
        <is>
          <t>TCP</t>
        </is>
      </c>
      <c r="C33" s="29" t="inlineStr">
        <is>
          <t>BGP</t>
        </is>
      </c>
      <c r="D33" s="29" t="inlineStr">
        <is>
          <t>NSX Edge Uplinks (EU1–EU8)</t>
        </is>
      </c>
      <c r="E33" s="29" t="inlineStr">
        <is>
          <t>ToR BGP Peer (EU11)</t>
        </is>
      </c>
      <c r="F33" s="29" t="inlineStr">
        <is>
          <t>Edge→ToR BGP peering — bidirectional, must be allowed on Gateway FW</t>
        </is>
      </c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21.75" customHeight="1" s="46">
      <c r="A34" s="41" t="inlineStr">
        <is>
          <t>6081</t>
        </is>
      </c>
      <c r="B34" s="27" t="inlineStr">
        <is>
          <t>UDP</t>
        </is>
      </c>
      <c r="C34" s="27" t="inlineStr">
        <is>
          <t>GENEVE Overlay</t>
        </is>
      </c>
      <c r="D34" s="27" t="inlineStr">
        <is>
          <t>Edge TEP (EU9) / Remote TEP (EU10)</t>
        </is>
      </c>
      <c r="E34" s="27" t="inlineStr">
        <is>
          <t>Host TEP / Peer Edge TEP</t>
        </is>
      </c>
      <c r="F34" s="27" t="inlineStr">
        <is>
          <t>NSX overlay encapsulation — MTU 1600+ required</t>
        </is>
      </c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21.75" customHeight="1" s="46">
      <c r="A35" s="40" t="inlineStr">
        <is>
          <t>3784/3785</t>
        </is>
      </c>
      <c r="B35" s="29" t="inlineStr">
        <is>
          <t>UDP</t>
        </is>
      </c>
      <c r="C35" s="29" t="inlineStr">
        <is>
          <t>BFD</t>
        </is>
      </c>
      <c r="D35" s="29" t="inlineStr">
        <is>
          <t>NSX Edge Uplinks</t>
        </is>
      </c>
      <c r="E35" s="29" t="inlineStr">
        <is>
          <t>ToR BGP Peer</t>
        </is>
      </c>
      <c r="F35" s="29" t="inlineStr">
        <is>
          <t>Bidirectional Forwarding Detection — fast BGP failover</t>
        </is>
      </c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21.75" customHeight="1" s="46">
      <c r="A36" s="33" t="inlineStr">
        <is>
          <t>1236</t>
        </is>
      </c>
      <c r="B36" s="42" t="inlineStr">
        <is>
          <t>TCP</t>
        </is>
      </c>
      <c r="C36" s="42" t="inlineStr">
        <is>
          <t>NSX Federation Async Replication</t>
        </is>
      </c>
      <c r="D36" s="42" t="inlineStr">
        <is>
          <t>NSX Global Manager (M3)</t>
        </is>
      </c>
      <c r="E36" s="42" t="inlineStr">
        <is>
          <t>NSX Local Manager (M2 — all AZs)</t>
        </is>
      </c>
      <c r="F36" s="42" t="inlineStr">
        <is>
          <t>⚠️ NEW — NSX team req. Core Federation engine — TCP 1236 MUST be whitelisted GM↔LM. Without this Global policy never reaches Local Managers.</t>
        </is>
      </c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21.75" customHeight="1" s="46">
      <c r="A37" s="43" t="inlineStr">
        <is>
          <t>443 (Federation)</t>
        </is>
      </c>
      <c r="B37" s="26" t="inlineStr">
        <is>
          <t>TCP</t>
        </is>
      </c>
      <c r="C37" s="26" t="inlineStr">
        <is>
          <t>NSX Federation API Sync</t>
        </is>
      </c>
      <c r="D37" s="26" t="inlineStr">
        <is>
          <t>NSX Global Manager (M3)</t>
        </is>
      </c>
      <c r="E37" s="26" t="inlineStr">
        <is>
          <t>NSX Local Manager (M2 — all AZs)</t>
        </is>
      </c>
      <c r="F37" s="26" t="inlineStr">
        <is>
          <t>Federation-specific 443 — in addition to existing component 443 rules. GM↔LM management plane sync.</t>
        </is>
      </c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21.75" customHeight="1" s="46">
      <c r="A38" s="44" t="inlineStr">
        <is>
          <t>179 (Inter-SR)</t>
        </is>
      </c>
      <c r="B38" s="23" t="inlineStr">
        <is>
          <t>TCP</t>
        </is>
      </c>
      <c r="C38" s="23" t="inlineStr">
        <is>
          <t>Inter-Site BGP — Service Router</t>
        </is>
      </c>
      <c r="D38" s="23" t="inlineStr">
        <is>
          <t>T0 SR Active Edge (per AZ)</t>
        </is>
      </c>
      <c r="E38" s="23" t="inlineStr">
        <is>
          <t>T0 SR Remote Edge (peer AZ)</t>
        </is>
      </c>
      <c r="F38" s="23" t="inlineStr">
        <is>
          <t>Inter-SR BGP distinct from Edge→ToR BGP. Required for T0 routing updates between AZs in NSX Federation.</t>
        </is>
      </c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24" customHeight="1" s="46">
      <c r="A39" s="35" t="inlineStr">
        <is>
          <t>4784</t>
        </is>
      </c>
      <c r="B39" s="35" t="inlineStr">
        <is>
          <t>UDP</t>
        </is>
      </c>
      <c r="C39" s="38" t="inlineStr">
        <is>
          <t>BFD — Multi-hop BFD (RFC 5883)</t>
        </is>
      </c>
      <c r="D39" s="38" t="inlineStr">
        <is>
          <t>NSX Edge Nodes (inter-site)</t>
        </is>
      </c>
      <c r="E39" s="38" t="inlineStr">
        <is>
          <t>Remote NSX Edge Nodes / Service Routers</t>
        </is>
      </c>
      <c r="F39" s="38" t="inlineStr">
        <is>
          <t>⚠️ NEWLY ADDED per network team requirements. BFD multi-hop for cross-AZ SR link detection. Required alongside UDP 3784/3785. All three BFD ports must be open.</t>
        </is>
      </c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24" customHeight="1" s="46">
      <c r="A40" s="35" t="inlineStr">
        <is>
          <t>5480</t>
        </is>
      </c>
      <c r="B40" s="35" t="inlineStr">
        <is>
          <t>TCP</t>
        </is>
      </c>
      <c r="C40" s="38" t="inlineStr">
        <is>
          <t>VAMI — Virtual Appliance Management Interface</t>
        </is>
      </c>
      <c r="D40" s="38" t="inlineStr">
        <is>
          <t>Fleet Mgr, VCFA, SDDC Mgr, ESXi, vCenter</t>
        </is>
      </c>
      <c r="E40" s="38" t="inlineStr">
        <is>
          <t>ALL VCF Appliances (vCenter, NSX Mgr, SDDC Mgr, VOL, VCFA, Fleet Mgr, vlsr1)</t>
        </is>
      </c>
      <c r="F40" s="38" t="inlineStr">
        <is>
          <t>⚠️ NEWLY ADDED per network team. VAMI is the mgmt interface for all VCF virtual appliances. vlsr1 VAMI IP: 192.168.188.1. Bidirectional.</t>
        </is>
      </c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24" customHeight="1" s="46">
      <c r="A41" s="35" t="inlineStr">
        <is>
          <t>9086</t>
        </is>
      </c>
      <c r="B41" s="35" t="inlineStr">
        <is>
          <t>TCP</t>
        </is>
      </c>
      <c r="C41" s="38" t="inlineStr">
        <is>
          <t>SRM — Site Recovery Manager Listener</t>
        </is>
      </c>
      <c r="D41" s="38" t="inlineStr">
        <is>
          <t>vSphere Replication (M8), PSC/vCenter, Remote Site</t>
        </is>
      </c>
      <c r="E41" s="38" t="inlineStr">
        <is>
          <t>SRM Listener — sfoMGMT-1-1-VC1.test.net (local host 192.168.188.1)</t>
        </is>
      </c>
      <c r="F41" s="38" t="inlineStr">
        <is>
          <t>⚠️ NEWLY ADDED per network team. SRM listener for cross-site replication and PSC SSO registration. Bidirectional. Verify with network team before whitelist per network team's comment.</t>
        </is>
      </c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24" customHeight="1" s="46">
      <c r="A42" s="35" t="inlineStr">
        <is>
          <t>1236</t>
        </is>
      </c>
      <c r="B42" s="35" t="inlineStr">
        <is>
          <t>TCP</t>
        </is>
      </c>
      <c r="C42" s="38" t="inlineStr">
        <is>
          <t>NSX Federation Async Replication (AR)</t>
        </is>
      </c>
      <c r="D42" s="38" t="inlineStr">
        <is>
          <t>NSX Global Manager (M3)</t>
        </is>
      </c>
      <c r="E42" s="38" t="inlineStr">
        <is>
          <t>NSX Local Manager (M2) — all AZs</t>
        </is>
      </c>
      <c r="F42" s="38" t="inlineStr">
        <is>
          <t>⚠️ NEWLY ADDED per NSX team 23/03/2026. Core Federation sync — GM pushes Global config to LMs. Was completely missing. Whitelist immediately.</t>
        </is>
      </c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24" customHeight="1" s="46">
      <c r="A43" s="40" t="inlineStr">
        <is>
          <t>179 (Inter-SR)</t>
        </is>
      </c>
      <c r="B43" s="45" t="inlineStr">
        <is>
          <t>TCP</t>
        </is>
      </c>
      <c r="C43" s="26" t="inlineStr">
        <is>
          <t>Inter-SR BGP (NSX Federation cross-AZ)</t>
        </is>
      </c>
      <c r="D43" s="26" t="inlineStr">
        <is>
          <t>NSX Edge Node Service Router (local AZ)</t>
        </is>
      </c>
      <c r="E43" s="26" t="inlineStr">
        <is>
          <t>NSX Remote Edge SR (peer AZ)</t>
        </is>
      </c>
      <c r="F43" s="26" t="inlineStr">
        <is>
          <t>Inter-site BGP between T0 Service Routers. Distinct from Edge→ToR BGP (BGP-01 to BGP-08).</t>
        </is>
      </c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46">
      <c r="A44" s="40" t="inlineStr">
        <is>
          <t>8043</t>
        </is>
      </c>
      <c r="B44" s="45" t="inlineStr">
        <is>
          <t>TCP</t>
        </is>
      </c>
      <c r="C44" s="26" t="inlineStr">
        <is>
          <t>vSphere Replication NFC</t>
        </is>
      </c>
      <c r="D44" s="26" t="inlineStr">
        <is>
          <t>VMware Live Recovery (VLR)</t>
        </is>
      </c>
      <c r="E44" s="26" t="inlineStr">
        <is>
          <t>ESXi Hosts (Mgmt Domain)</t>
        </is>
      </c>
      <c r="F44" s="26" t="inlineStr">
        <is>
          <t>CF row 165-175 — vSphere Replication VMkernel NFC traffic. Required for LVR Site Protection &amp; DR.</t>
        </is>
      </c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46">
      <c r="A45" s="40" t="inlineStr">
        <is>
          <t>31031</t>
        </is>
      </c>
      <c r="B45" s="45" t="inlineStr">
        <is>
          <t>TCP</t>
        </is>
      </c>
      <c r="C45" s="26" t="inlineStr">
        <is>
          <t>vSphere Replication NFC — Changed Blocks</t>
        </is>
      </c>
      <c r="D45" s="26" t="inlineStr">
        <is>
          <t>VMware Live Recovery (VLR)</t>
        </is>
      </c>
      <c r="E45" s="26" t="inlineStr">
        <is>
          <t>ESXi Hosts (Mgmt Domain)</t>
        </is>
      </c>
      <c r="F45" s="26" t="inlineStr">
        <is>
          <t>CF row 165-175 — Changed data block replication. Bidirectional between VLR and ESXi VMkernel.</t>
        </is>
      </c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46">
      <c r="A46" s="40" t="inlineStr">
        <is>
          <t>44046</t>
        </is>
      </c>
      <c r="B46" s="45" t="inlineStr">
        <is>
          <t>TCP</t>
        </is>
      </c>
      <c r="C46" s="26" t="inlineStr">
        <is>
          <t>vSphere Replication NFC — Alternate</t>
        </is>
      </c>
      <c r="D46" s="26" t="inlineStr">
        <is>
          <t>VMware Live Recovery (VLR)</t>
        </is>
      </c>
      <c r="E46" s="26" t="inlineStr">
        <is>
          <t>ESXi Hosts (Mgmt Domain)</t>
        </is>
      </c>
      <c r="F46" s="26" t="inlineStr">
        <is>
          <t>CF row 165-175 — Alternate NFC port for vSphere Replication. Bidirectional.</t>
        </is>
      </c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46">
      <c r="A47" s="13" t="n"/>
      <c r="B47" s="13" t="n"/>
      <c r="C47" s="13" t="n"/>
      <c r="D47" s="13" t="n"/>
      <c r="E47" s="13" t="n"/>
      <c r="F47" s="13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46">
      <c r="A48" s="13" t="n"/>
      <c r="B48" s="13" t="n"/>
      <c r="C48" s="13" t="n"/>
      <c r="D48" s="13" t="n"/>
      <c r="E48" s="13" t="n"/>
      <c r="F48" s="13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46">
      <c r="A49" s="13" t="n"/>
      <c r="B49" s="13" t="n"/>
      <c r="C49" s="13" t="n"/>
      <c r="D49" s="13" t="n"/>
      <c r="E49" s="13" t="n"/>
      <c r="F49" s="13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46">
      <c r="A50" s="13" t="n"/>
      <c r="B50" s="13" t="n"/>
      <c r="C50" s="13" t="n"/>
      <c r="D50" s="13" t="n"/>
      <c r="E50" s="13" t="n"/>
      <c r="F50" s="13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46">
      <c r="A51" s="13" t="n"/>
      <c r="B51" s="13" t="n"/>
      <c r="C51" s="13" t="n"/>
      <c r="D51" s="13" t="n"/>
      <c r="E51" s="13" t="n"/>
      <c r="F51" s="13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46">
      <c r="A52" s="13" t="n"/>
      <c r="B52" s="13" t="n"/>
      <c r="C52" s="13" t="n"/>
      <c r="D52" s="13" t="n"/>
      <c r="E52" s="13" t="n"/>
      <c r="F52" s="13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46">
      <c r="A53" s="13" t="n"/>
      <c r="B53" s="13" t="n"/>
      <c r="C53" s="13" t="n"/>
      <c r="D53" s="13" t="n"/>
      <c r="E53" s="13" t="n"/>
      <c r="F53" s="13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46">
      <c r="A54" s="13" t="n"/>
      <c r="B54" s="13" t="n"/>
      <c r="C54" s="13" t="n"/>
      <c r="D54" s="13" t="n"/>
      <c r="E54" s="13" t="n"/>
      <c r="F54" s="13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46">
      <c r="A55" s="13" t="n"/>
      <c r="B55" s="13" t="n"/>
      <c r="C55" s="13" t="n"/>
      <c r="D55" s="13" t="n"/>
      <c r="E55" s="13" t="n"/>
      <c r="F55" s="13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46">
      <c r="A56" s="13" t="n"/>
      <c r="B56" s="13" t="n"/>
      <c r="C56" s="13" t="n"/>
      <c r="D56" s="13" t="n"/>
      <c r="E56" s="13" t="n"/>
      <c r="F56" s="13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46">
      <c r="A57" s="13" t="n"/>
      <c r="B57" s="13" t="n"/>
      <c r="C57" s="13" t="n"/>
      <c r="D57" s="13" t="n"/>
      <c r="E57" s="13" t="n"/>
      <c r="F57" s="13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46">
      <c r="A58" s="13" t="n"/>
      <c r="B58" s="13" t="n"/>
      <c r="C58" s="13" t="n"/>
      <c r="D58" s="13" t="n"/>
      <c r="E58" s="13" t="n"/>
      <c r="F58" s="13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46">
      <c r="A59" s="13" t="n"/>
      <c r="B59" s="13" t="n"/>
      <c r="C59" s="13" t="n"/>
      <c r="D59" s="13" t="n"/>
      <c r="E59" s="13" t="n"/>
      <c r="F59" s="13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46">
      <c r="A60" s="13" t="n"/>
      <c r="B60" s="13" t="n"/>
      <c r="C60" s="13" t="n"/>
      <c r="D60" s="13" t="n"/>
      <c r="E60" s="13" t="n"/>
      <c r="F60" s="13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46">
      <c r="A61" s="13" t="n"/>
      <c r="B61" s="13" t="n"/>
      <c r="C61" s="13" t="n"/>
      <c r="D61" s="13" t="n"/>
      <c r="E61" s="13" t="n"/>
      <c r="F61" s="13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46">
      <c r="A62" s="13" t="n"/>
      <c r="B62" s="13" t="n"/>
      <c r="C62" s="13" t="n"/>
      <c r="D62" s="13" t="n"/>
      <c r="E62" s="13" t="n"/>
      <c r="F62" s="13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46">
      <c r="A63" s="13" t="n"/>
      <c r="B63" s="13" t="n"/>
      <c r="C63" s="13" t="n"/>
      <c r="D63" s="13" t="n"/>
      <c r="E63" s="13" t="n"/>
      <c r="F63" s="13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46">
      <c r="A64" s="13" t="n"/>
      <c r="B64" s="13" t="n"/>
      <c r="C64" s="13" t="n"/>
      <c r="D64" s="13" t="n"/>
      <c r="E64" s="13" t="n"/>
      <c r="F64" s="13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46">
      <c r="A65" s="13" t="n"/>
      <c r="B65" s="13" t="n"/>
      <c r="C65" s="13" t="n"/>
      <c r="D65" s="13" t="n"/>
      <c r="E65" s="13" t="n"/>
      <c r="F65" s="13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46">
      <c r="A66" s="13" t="n"/>
      <c r="B66" s="13" t="n"/>
      <c r="C66" s="13" t="n"/>
      <c r="D66" s="13" t="n"/>
      <c r="E66" s="13" t="n"/>
      <c r="F66" s="13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46">
      <c r="A67" s="13" t="n"/>
      <c r="B67" s="13" t="n"/>
      <c r="C67" s="13" t="n"/>
      <c r="D67" s="13" t="n"/>
      <c r="E67" s="13" t="n"/>
      <c r="F67" s="13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46">
      <c r="A68" s="13" t="n"/>
      <c r="B68" s="13" t="n"/>
      <c r="C68" s="13" t="n"/>
      <c r="D68" s="13" t="n"/>
      <c r="E68" s="13" t="n"/>
      <c r="F68" s="13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46">
      <c r="A69" s="13" t="n"/>
      <c r="B69" s="13" t="n"/>
      <c r="C69" s="13" t="n"/>
      <c r="D69" s="13" t="n"/>
      <c r="E69" s="13" t="n"/>
      <c r="F69" s="13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46">
      <c r="A70" s="13" t="n"/>
      <c r="B70" s="13" t="n"/>
      <c r="C70" s="13" t="n"/>
      <c r="D70" s="13" t="n"/>
      <c r="E70" s="13" t="n"/>
      <c r="F70" s="13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46">
      <c r="A71" s="13" t="n"/>
      <c r="B71" s="13" t="n"/>
      <c r="C71" s="13" t="n"/>
      <c r="D71" s="13" t="n"/>
      <c r="E71" s="13" t="n"/>
      <c r="F71" s="13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46">
      <c r="A72" s="13" t="n"/>
      <c r="B72" s="13" t="n"/>
      <c r="C72" s="13" t="n"/>
      <c r="D72" s="13" t="n"/>
      <c r="E72" s="13" t="n"/>
      <c r="F72" s="13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46">
      <c r="A73" s="13" t="n"/>
      <c r="B73" s="13" t="n"/>
      <c r="C73" s="13" t="n"/>
      <c r="D73" s="13" t="n"/>
      <c r="E73" s="13" t="n"/>
      <c r="F73" s="13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46">
      <c r="A74" s="13" t="n"/>
      <c r="B74" s="13" t="n"/>
      <c r="C74" s="13" t="n"/>
      <c r="D74" s="13" t="n"/>
      <c r="E74" s="13" t="n"/>
      <c r="F74" s="13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46">
      <c r="A75" s="13" t="n"/>
      <c r="B75" s="13" t="n"/>
      <c r="C75" s="13" t="n"/>
      <c r="D75" s="13" t="n"/>
      <c r="E75" s="13" t="n"/>
      <c r="F75" s="13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46">
      <c r="A76" s="13" t="n"/>
      <c r="B76" s="13" t="n"/>
      <c r="C76" s="13" t="n"/>
      <c r="D76" s="13" t="n"/>
      <c r="E76" s="13" t="n"/>
      <c r="F76" s="13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46">
      <c r="A77" s="13" t="n"/>
      <c r="B77" s="13" t="n"/>
      <c r="C77" s="13" t="n"/>
      <c r="D77" s="13" t="n"/>
      <c r="E77" s="13" t="n"/>
      <c r="F77" s="13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46">
      <c r="A78" s="13" t="n"/>
      <c r="B78" s="13" t="n"/>
      <c r="C78" s="13" t="n"/>
      <c r="D78" s="13" t="n"/>
      <c r="E78" s="13" t="n"/>
      <c r="F78" s="13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46">
      <c r="A79" s="13" t="n"/>
      <c r="B79" s="13" t="n"/>
      <c r="C79" s="13" t="n"/>
      <c r="D79" s="13" t="n"/>
      <c r="E79" s="13" t="n"/>
      <c r="F79" s="13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46">
      <c r="A80" s="13" t="n"/>
      <c r="B80" s="13" t="n"/>
      <c r="C80" s="13" t="n"/>
      <c r="D80" s="13" t="n"/>
      <c r="E80" s="13" t="n"/>
      <c r="F80" s="13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46">
      <c r="A81" s="13" t="n"/>
      <c r="B81" s="13" t="n"/>
      <c r="C81" s="13" t="n"/>
      <c r="D81" s="13" t="n"/>
      <c r="E81" s="13" t="n"/>
      <c r="F81" s="13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46">
      <c r="A82" s="13" t="n"/>
      <c r="B82" s="13" t="n"/>
      <c r="C82" s="13" t="n"/>
      <c r="D82" s="13" t="n"/>
      <c r="E82" s="13" t="n"/>
      <c r="F82" s="13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46">
      <c r="A83" s="13" t="n"/>
      <c r="B83" s="13" t="n"/>
      <c r="C83" s="13" t="n"/>
      <c r="D83" s="13" t="n"/>
      <c r="E83" s="13" t="n"/>
      <c r="F83" s="13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46">
      <c r="A84" s="13" t="n"/>
      <c r="B84" s="13" t="n"/>
      <c r="C84" s="13" t="n"/>
      <c r="D84" s="13" t="n"/>
      <c r="E84" s="13" t="n"/>
      <c r="F84" s="13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46">
      <c r="A85" s="13" t="n"/>
      <c r="B85" s="13" t="n"/>
      <c r="C85" s="13" t="n"/>
      <c r="D85" s="13" t="n"/>
      <c r="E85" s="13" t="n"/>
      <c r="F85" s="13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46">
      <c r="A86" s="13" t="n"/>
      <c r="B86" s="13" t="n"/>
      <c r="C86" s="13" t="n"/>
      <c r="D86" s="13" t="n"/>
      <c r="E86" s="13" t="n"/>
      <c r="F86" s="13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46">
      <c r="A87" s="13" t="n"/>
      <c r="B87" s="13" t="n"/>
      <c r="C87" s="13" t="n"/>
      <c r="D87" s="13" t="n"/>
      <c r="E87" s="13" t="n"/>
      <c r="F87" s="13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46">
      <c r="A88" s="13" t="n"/>
      <c r="B88" s="13" t="n"/>
      <c r="C88" s="13" t="n"/>
      <c r="D88" s="13" t="n"/>
      <c r="E88" s="13" t="n"/>
      <c r="F88" s="13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46">
      <c r="A89" s="13" t="n"/>
      <c r="B89" s="13" t="n"/>
      <c r="C89" s="13" t="n"/>
      <c r="D89" s="13" t="n"/>
      <c r="E89" s="13" t="n"/>
      <c r="F89" s="13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46">
      <c r="A90" s="13" t="n"/>
      <c r="B90" s="13" t="n"/>
      <c r="C90" s="13" t="n"/>
      <c r="D90" s="13" t="n"/>
      <c r="E90" s="13" t="n"/>
      <c r="F90" s="13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46">
      <c r="A91" s="13" t="n"/>
      <c r="B91" s="13" t="n"/>
      <c r="C91" s="13" t="n"/>
      <c r="D91" s="13" t="n"/>
      <c r="E91" s="13" t="n"/>
      <c r="F91" s="13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46">
      <c r="A92" s="13" t="n"/>
      <c r="B92" s="13" t="n"/>
      <c r="C92" s="13" t="n"/>
      <c r="D92" s="13" t="n"/>
      <c r="E92" s="13" t="n"/>
      <c r="F92" s="13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46">
      <c r="A93" s="13" t="n"/>
      <c r="B93" s="13" t="n"/>
      <c r="C93" s="13" t="n"/>
      <c r="D93" s="13" t="n"/>
      <c r="E93" s="13" t="n"/>
      <c r="F93" s="13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46">
      <c r="A94" s="13" t="n"/>
      <c r="B94" s="13" t="n"/>
      <c r="C94" s="13" t="n"/>
      <c r="D94" s="13" t="n"/>
      <c r="E94" s="13" t="n"/>
      <c r="F94" s="13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46">
      <c r="A95" s="13" t="n"/>
      <c r="B95" s="13" t="n"/>
      <c r="C95" s="13" t="n"/>
      <c r="D95" s="13" t="n"/>
      <c r="E95" s="13" t="n"/>
      <c r="F95" s="13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46">
      <c r="A96" s="13" t="n"/>
      <c r="B96" s="13" t="n"/>
      <c r="C96" s="13" t="n"/>
      <c r="D96" s="13" t="n"/>
      <c r="E96" s="13" t="n"/>
      <c r="F96" s="13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46">
      <c r="A97" s="13" t="n"/>
      <c r="B97" s="13" t="n"/>
      <c r="C97" s="13" t="n"/>
      <c r="D97" s="13" t="n"/>
      <c r="E97" s="13" t="n"/>
      <c r="F97" s="13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46">
      <c r="A98" s="13" t="n"/>
      <c r="B98" s="13" t="n"/>
      <c r="C98" s="13" t="n"/>
      <c r="D98" s="13" t="n"/>
      <c r="E98" s="13" t="n"/>
      <c r="F98" s="13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46">
      <c r="A99" s="13" t="n"/>
      <c r="B99" s="13" t="n"/>
      <c r="C99" s="13" t="n"/>
      <c r="D99" s="13" t="n"/>
      <c r="E99" s="13" t="n"/>
      <c r="F99" s="13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46">
      <c r="A100" s="13" t="n"/>
      <c r="B100" s="13" t="n"/>
      <c r="C100" s="13" t="n"/>
      <c r="D100" s="13" t="n"/>
      <c r="E100" s="13" t="n"/>
      <c r="F100" s="13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46">
      <c r="A101" s="13" t="n"/>
      <c r="B101" s="13" t="n"/>
      <c r="C101" s="13" t="n"/>
      <c r="D101" s="13" t="n"/>
      <c r="E101" s="13" t="n"/>
      <c r="F101" s="13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46">
      <c r="A102" s="13" t="n"/>
      <c r="B102" s="13" t="n"/>
      <c r="C102" s="13" t="n"/>
      <c r="D102" s="13" t="n"/>
      <c r="E102" s="13" t="n"/>
      <c r="F102" s="13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46">
      <c r="A103" s="13" t="n"/>
      <c r="B103" s="13" t="n"/>
      <c r="C103" s="13" t="n"/>
      <c r="D103" s="13" t="n"/>
      <c r="E103" s="13" t="n"/>
      <c r="F103" s="13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46">
      <c r="A104" s="13" t="n"/>
      <c r="B104" s="13" t="n"/>
      <c r="C104" s="13" t="n"/>
      <c r="D104" s="13" t="n"/>
      <c r="E104" s="13" t="n"/>
      <c r="F104" s="13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46">
      <c r="A105" s="13" t="n"/>
      <c r="B105" s="13" t="n"/>
      <c r="C105" s="13" t="n"/>
      <c r="D105" s="13" t="n"/>
      <c r="E105" s="13" t="n"/>
      <c r="F105" s="13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46">
      <c r="A106" s="13" t="n"/>
      <c r="B106" s="13" t="n"/>
      <c r="C106" s="13" t="n"/>
      <c r="D106" s="13" t="n"/>
      <c r="E106" s="13" t="n"/>
      <c r="F106" s="13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46">
      <c r="A107" s="13" t="n"/>
      <c r="B107" s="13" t="n"/>
      <c r="C107" s="13" t="n"/>
      <c r="D107" s="13" t="n"/>
      <c r="E107" s="13" t="n"/>
      <c r="F107" s="13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46">
      <c r="A108" s="13" t="n"/>
      <c r="B108" s="13" t="n"/>
      <c r="C108" s="13" t="n"/>
      <c r="D108" s="13" t="n"/>
      <c r="E108" s="13" t="n"/>
      <c r="F108" s="13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46">
      <c r="A109" s="13" t="n"/>
      <c r="B109" s="13" t="n"/>
      <c r="C109" s="13" t="n"/>
      <c r="D109" s="13" t="n"/>
      <c r="E109" s="13" t="n"/>
      <c r="F109" s="13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46">
      <c r="A110" s="13" t="n"/>
      <c r="B110" s="13" t="n"/>
      <c r="C110" s="13" t="n"/>
      <c r="D110" s="13" t="n"/>
      <c r="E110" s="13" t="n"/>
      <c r="F110" s="13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46">
      <c r="A111" s="13" t="n"/>
      <c r="B111" s="13" t="n"/>
      <c r="C111" s="13" t="n"/>
      <c r="D111" s="13" t="n"/>
      <c r="E111" s="13" t="n"/>
      <c r="F111" s="13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46">
      <c r="A112" s="13" t="n"/>
      <c r="B112" s="13" t="n"/>
      <c r="C112" s="13" t="n"/>
      <c r="D112" s="13" t="n"/>
      <c r="E112" s="13" t="n"/>
      <c r="F112" s="13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46">
      <c r="A113" s="13" t="n"/>
      <c r="B113" s="13" t="n"/>
      <c r="C113" s="13" t="n"/>
      <c r="D113" s="13" t="n"/>
      <c r="E113" s="13" t="n"/>
      <c r="F113" s="13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46">
      <c r="A114" s="13" t="n"/>
      <c r="B114" s="13" t="n"/>
      <c r="C114" s="13" t="n"/>
      <c r="D114" s="13" t="n"/>
      <c r="E114" s="13" t="n"/>
      <c r="F114" s="13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46">
      <c r="A115" s="13" t="n"/>
      <c r="B115" s="13" t="n"/>
      <c r="C115" s="13" t="n"/>
      <c r="D115" s="13" t="n"/>
      <c r="E115" s="13" t="n"/>
      <c r="F115" s="13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46">
      <c r="A116" s="13" t="n"/>
      <c r="B116" s="13" t="n"/>
      <c r="C116" s="13" t="n"/>
      <c r="D116" s="13" t="n"/>
      <c r="E116" s="13" t="n"/>
      <c r="F116" s="13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46">
      <c r="A117" s="13" t="n"/>
      <c r="B117" s="13" t="n"/>
      <c r="C117" s="13" t="n"/>
      <c r="D117" s="13" t="n"/>
      <c r="E117" s="13" t="n"/>
      <c r="F117" s="13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46">
      <c r="A118" s="13" t="n"/>
      <c r="B118" s="13" t="n"/>
      <c r="C118" s="13" t="n"/>
      <c r="D118" s="13" t="n"/>
      <c r="E118" s="13" t="n"/>
      <c r="F118" s="13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46">
      <c r="A119" s="13" t="n"/>
      <c r="B119" s="13" t="n"/>
      <c r="C119" s="13" t="n"/>
      <c r="D119" s="13" t="n"/>
      <c r="E119" s="13" t="n"/>
      <c r="F119" s="13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46">
      <c r="A120" s="13" t="n"/>
      <c r="B120" s="13" t="n"/>
      <c r="C120" s="13" t="n"/>
      <c r="D120" s="13" t="n"/>
      <c r="E120" s="13" t="n"/>
      <c r="F120" s="13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46">
      <c r="A121" s="13" t="n"/>
      <c r="B121" s="13" t="n"/>
      <c r="C121" s="13" t="n"/>
      <c r="D121" s="13" t="n"/>
      <c r="E121" s="13" t="n"/>
      <c r="F121" s="13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46">
      <c r="A122" s="13" t="n"/>
      <c r="B122" s="13" t="n"/>
      <c r="C122" s="13" t="n"/>
      <c r="D122" s="13" t="n"/>
      <c r="E122" s="13" t="n"/>
      <c r="F122" s="13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46">
      <c r="A123" s="13" t="n"/>
      <c r="B123" s="13" t="n"/>
      <c r="C123" s="13" t="n"/>
      <c r="D123" s="13" t="n"/>
      <c r="E123" s="13" t="n"/>
      <c r="F123" s="13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46">
      <c r="A124" s="13" t="n"/>
      <c r="B124" s="13" t="n"/>
      <c r="C124" s="13" t="n"/>
      <c r="D124" s="13" t="n"/>
      <c r="E124" s="13" t="n"/>
      <c r="F124" s="13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46">
      <c r="A125" s="13" t="n"/>
      <c r="B125" s="13" t="n"/>
      <c r="C125" s="13" t="n"/>
      <c r="D125" s="13" t="n"/>
      <c r="E125" s="13" t="n"/>
      <c r="F125" s="13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46">
      <c r="A126" s="13" t="n"/>
      <c r="B126" s="13" t="n"/>
      <c r="C126" s="13" t="n"/>
      <c r="D126" s="13" t="n"/>
      <c r="E126" s="13" t="n"/>
      <c r="F126" s="13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46">
      <c r="A127" s="13" t="n"/>
      <c r="B127" s="13" t="n"/>
      <c r="C127" s="13" t="n"/>
      <c r="D127" s="13" t="n"/>
      <c r="E127" s="13" t="n"/>
      <c r="F127" s="13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46">
      <c r="A128" s="13" t="n"/>
      <c r="B128" s="13" t="n"/>
      <c r="C128" s="13" t="n"/>
      <c r="D128" s="13" t="n"/>
      <c r="E128" s="13" t="n"/>
      <c r="F128" s="13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46">
      <c r="A129" s="13" t="n"/>
      <c r="B129" s="13" t="n"/>
      <c r="C129" s="13" t="n"/>
      <c r="D129" s="13" t="n"/>
      <c r="E129" s="13" t="n"/>
      <c r="F129" s="13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46">
      <c r="A130" s="13" t="n"/>
      <c r="B130" s="13" t="n"/>
      <c r="C130" s="13" t="n"/>
      <c r="D130" s="13" t="n"/>
      <c r="E130" s="13" t="n"/>
      <c r="F130" s="13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46">
      <c r="A131" s="13" t="n"/>
      <c r="B131" s="13" t="n"/>
      <c r="C131" s="13" t="n"/>
      <c r="D131" s="13" t="n"/>
      <c r="E131" s="13" t="n"/>
      <c r="F131" s="13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46">
      <c r="A132" s="13" t="n"/>
      <c r="B132" s="13" t="n"/>
      <c r="C132" s="13" t="n"/>
      <c r="D132" s="13" t="n"/>
      <c r="E132" s="13" t="n"/>
      <c r="F132" s="13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46">
      <c r="A133" s="13" t="n"/>
      <c r="B133" s="13" t="n"/>
      <c r="C133" s="13" t="n"/>
      <c r="D133" s="13" t="n"/>
      <c r="E133" s="13" t="n"/>
      <c r="F133" s="13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46">
      <c r="A134" s="13" t="n"/>
      <c r="B134" s="13" t="n"/>
      <c r="C134" s="13" t="n"/>
      <c r="D134" s="13" t="n"/>
      <c r="E134" s="13" t="n"/>
      <c r="F134" s="13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46">
      <c r="A135" s="13" t="n"/>
      <c r="B135" s="13" t="n"/>
      <c r="C135" s="13" t="n"/>
      <c r="D135" s="13" t="n"/>
      <c r="E135" s="13" t="n"/>
      <c r="F135" s="13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46">
      <c r="A136" s="13" t="n"/>
      <c r="B136" s="13" t="n"/>
      <c r="C136" s="13" t="n"/>
      <c r="D136" s="13" t="n"/>
      <c r="E136" s="13" t="n"/>
      <c r="F136" s="13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46">
      <c r="A137" s="13" t="n"/>
      <c r="B137" s="13" t="n"/>
      <c r="C137" s="13" t="n"/>
      <c r="D137" s="13" t="n"/>
      <c r="E137" s="13" t="n"/>
      <c r="F137" s="13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46">
      <c r="A138" s="13" t="n"/>
      <c r="B138" s="13" t="n"/>
      <c r="C138" s="13" t="n"/>
      <c r="D138" s="13" t="n"/>
      <c r="E138" s="13" t="n"/>
      <c r="F138" s="13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46">
      <c r="A139" s="13" t="n"/>
      <c r="B139" s="13" t="n"/>
      <c r="C139" s="13" t="n"/>
      <c r="D139" s="13" t="n"/>
      <c r="E139" s="13" t="n"/>
      <c r="F139" s="13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46">
      <c r="A140" s="13" t="n"/>
      <c r="B140" s="13" t="n"/>
      <c r="C140" s="13" t="n"/>
      <c r="D140" s="13" t="n"/>
      <c r="E140" s="13" t="n"/>
      <c r="F140" s="13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46">
      <c r="A141" s="13" t="n"/>
      <c r="B141" s="13" t="n"/>
      <c r="C141" s="13" t="n"/>
      <c r="D141" s="13" t="n"/>
      <c r="E141" s="13" t="n"/>
      <c r="F141" s="13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46">
      <c r="A142" s="13" t="n"/>
      <c r="B142" s="13" t="n"/>
      <c r="C142" s="13" t="n"/>
      <c r="D142" s="13" t="n"/>
      <c r="E142" s="13" t="n"/>
      <c r="F142" s="13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46">
      <c r="A143" s="13" t="n"/>
      <c r="B143" s="13" t="n"/>
      <c r="C143" s="13" t="n"/>
      <c r="D143" s="13" t="n"/>
      <c r="E143" s="13" t="n"/>
      <c r="F143" s="13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46">
      <c r="A144" s="13" t="n"/>
      <c r="B144" s="13" t="n"/>
      <c r="C144" s="13" t="n"/>
      <c r="D144" s="13" t="n"/>
      <c r="E144" s="13" t="n"/>
      <c r="F144" s="13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46">
      <c r="A145" s="13" t="n"/>
      <c r="B145" s="13" t="n"/>
      <c r="C145" s="13" t="n"/>
      <c r="D145" s="13" t="n"/>
      <c r="E145" s="13" t="n"/>
      <c r="F145" s="13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46">
      <c r="A146" s="13" t="n"/>
      <c r="B146" s="13" t="n"/>
      <c r="C146" s="13" t="n"/>
      <c r="D146" s="13" t="n"/>
      <c r="E146" s="13" t="n"/>
      <c r="F146" s="13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46">
      <c r="A147" s="13" t="n"/>
      <c r="B147" s="13" t="n"/>
      <c r="C147" s="13" t="n"/>
      <c r="D147" s="13" t="n"/>
      <c r="E147" s="13" t="n"/>
      <c r="F147" s="13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46">
      <c r="A148" s="13" t="n"/>
      <c r="B148" s="13" t="n"/>
      <c r="C148" s="13" t="n"/>
      <c r="D148" s="13" t="n"/>
      <c r="E148" s="13" t="n"/>
      <c r="F148" s="13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46">
      <c r="A149" s="13" t="n"/>
      <c r="B149" s="13" t="n"/>
      <c r="C149" s="13" t="n"/>
      <c r="D149" s="13" t="n"/>
      <c r="E149" s="13" t="n"/>
      <c r="F149" s="13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46">
      <c r="A150" s="13" t="n"/>
      <c r="B150" s="13" t="n"/>
      <c r="C150" s="13" t="n"/>
      <c r="D150" s="13" t="n"/>
      <c r="E150" s="13" t="n"/>
      <c r="F150" s="13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46">
      <c r="A151" s="13" t="n"/>
      <c r="B151" s="13" t="n"/>
      <c r="C151" s="13" t="n"/>
      <c r="D151" s="13" t="n"/>
      <c r="E151" s="13" t="n"/>
      <c r="F151" s="13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46">
      <c r="A152" s="13" t="n"/>
      <c r="B152" s="13" t="n"/>
      <c r="C152" s="13" t="n"/>
      <c r="D152" s="13" t="n"/>
      <c r="E152" s="13" t="n"/>
      <c r="F152" s="13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46">
      <c r="A153" s="13" t="n"/>
      <c r="B153" s="13" t="n"/>
      <c r="C153" s="13" t="n"/>
      <c r="D153" s="13" t="n"/>
      <c r="E153" s="13" t="n"/>
      <c r="F153" s="13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46">
      <c r="A154" s="13" t="n"/>
      <c r="B154" s="13" t="n"/>
      <c r="C154" s="13" t="n"/>
      <c r="D154" s="13" t="n"/>
      <c r="E154" s="13" t="n"/>
      <c r="F154" s="13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46">
      <c r="A155" s="13" t="n"/>
      <c r="B155" s="13" t="n"/>
      <c r="C155" s="13" t="n"/>
      <c r="D155" s="13" t="n"/>
      <c r="E155" s="13" t="n"/>
      <c r="F155" s="13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46">
      <c r="A156" s="13" t="n"/>
      <c r="B156" s="13" t="n"/>
      <c r="C156" s="13" t="n"/>
      <c r="D156" s="13" t="n"/>
      <c r="E156" s="13" t="n"/>
      <c r="F156" s="13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46">
      <c r="A157" s="13" t="n"/>
      <c r="B157" s="13" t="n"/>
      <c r="C157" s="13" t="n"/>
      <c r="D157" s="13" t="n"/>
      <c r="E157" s="13" t="n"/>
      <c r="F157" s="13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46">
      <c r="A158" s="13" t="n"/>
      <c r="B158" s="13" t="n"/>
      <c r="C158" s="13" t="n"/>
      <c r="D158" s="13" t="n"/>
      <c r="E158" s="13" t="n"/>
      <c r="F158" s="13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46">
      <c r="A159" s="13" t="n"/>
      <c r="B159" s="13" t="n"/>
      <c r="C159" s="13" t="n"/>
      <c r="D159" s="13" t="n"/>
      <c r="E159" s="13" t="n"/>
      <c r="F159" s="13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46">
      <c r="A160" s="13" t="n"/>
      <c r="B160" s="13" t="n"/>
      <c r="C160" s="13" t="n"/>
      <c r="D160" s="13" t="n"/>
      <c r="E160" s="13" t="n"/>
      <c r="F160" s="13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46">
      <c r="A161" s="13" t="n"/>
      <c r="B161" s="13" t="n"/>
      <c r="C161" s="13" t="n"/>
      <c r="D161" s="13" t="n"/>
      <c r="E161" s="13" t="n"/>
      <c r="F161" s="13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46">
      <c r="A162" s="13" t="n"/>
      <c r="B162" s="13" t="n"/>
      <c r="C162" s="13" t="n"/>
      <c r="D162" s="13" t="n"/>
      <c r="E162" s="13" t="n"/>
      <c r="F162" s="13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46">
      <c r="A163" s="13" t="n"/>
      <c r="B163" s="13" t="n"/>
      <c r="C163" s="13" t="n"/>
      <c r="D163" s="13" t="n"/>
      <c r="E163" s="13" t="n"/>
      <c r="F163" s="13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46">
      <c r="A164" s="13" t="n"/>
      <c r="B164" s="13" t="n"/>
      <c r="C164" s="13" t="n"/>
      <c r="D164" s="13" t="n"/>
      <c r="E164" s="13" t="n"/>
      <c r="F164" s="13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46">
      <c r="A165" s="13" t="n"/>
      <c r="B165" s="13" t="n"/>
      <c r="C165" s="13" t="n"/>
      <c r="D165" s="13" t="n"/>
      <c r="E165" s="13" t="n"/>
      <c r="F165" s="13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46">
      <c r="A166" s="13" t="n"/>
      <c r="B166" s="13" t="n"/>
      <c r="C166" s="13" t="n"/>
      <c r="D166" s="13" t="n"/>
      <c r="E166" s="13" t="n"/>
      <c r="F166" s="13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46">
      <c r="A167" s="13" t="n"/>
      <c r="B167" s="13" t="n"/>
      <c r="C167" s="13" t="n"/>
      <c r="D167" s="13" t="n"/>
      <c r="E167" s="13" t="n"/>
      <c r="F167" s="13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46">
      <c r="A168" s="13" t="n"/>
      <c r="B168" s="13" t="n"/>
      <c r="C168" s="13" t="n"/>
      <c r="D168" s="13" t="n"/>
      <c r="E168" s="13" t="n"/>
      <c r="F168" s="13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46">
      <c r="A169" s="13" t="n"/>
      <c r="B169" s="13" t="n"/>
      <c r="C169" s="13" t="n"/>
      <c r="D169" s="13" t="n"/>
      <c r="E169" s="13" t="n"/>
      <c r="F169" s="13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46">
      <c r="A170" s="13" t="n"/>
      <c r="B170" s="13" t="n"/>
      <c r="C170" s="13" t="n"/>
      <c r="D170" s="13" t="n"/>
      <c r="E170" s="13" t="n"/>
      <c r="F170" s="13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46">
      <c r="A171" s="13" t="n"/>
      <c r="B171" s="13" t="n"/>
      <c r="C171" s="13" t="n"/>
      <c r="D171" s="13" t="n"/>
      <c r="E171" s="13" t="n"/>
      <c r="F171" s="13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46">
      <c r="A172" s="13" t="n"/>
      <c r="B172" s="13" t="n"/>
      <c r="C172" s="13" t="n"/>
      <c r="D172" s="13" t="n"/>
      <c r="E172" s="13" t="n"/>
      <c r="F172" s="13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46">
      <c r="A173" s="13" t="n"/>
      <c r="B173" s="13" t="n"/>
      <c r="C173" s="13" t="n"/>
      <c r="D173" s="13" t="n"/>
      <c r="E173" s="13" t="n"/>
      <c r="F173" s="13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46">
      <c r="A174" s="13" t="n"/>
      <c r="B174" s="13" t="n"/>
      <c r="C174" s="13" t="n"/>
      <c r="D174" s="13" t="n"/>
      <c r="E174" s="13" t="n"/>
      <c r="F174" s="13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46">
      <c r="A175" s="13" t="n"/>
      <c r="B175" s="13" t="n"/>
      <c r="C175" s="13" t="n"/>
      <c r="D175" s="13" t="n"/>
      <c r="E175" s="13" t="n"/>
      <c r="F175" s="13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46">
      <c r="A176" s="13" t="n"/>
      <c r="B176" s="13" t="n"/>
      <c r="C176" s="13" t="n"/>
      <c r="D176" s="13" t="n"/>
      <c r="E176" s="13" t="n"/>
      <c r="F176" s="13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46">
      <c r="A177" s="13" t="n"/>
      <c r="B177" s="13" t="n"/>
      <c r="C177" s="13" t="n"/>
      <c r="D177" s="13" t="n"/>
      <c r="E177" s="13" t="n"/>
      <c r="F177" s="13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46">
      <c r="A178" s="13" t="n"/>
      <c r="B178" s="13" t="n"/>
      <c r="C178" s="13" t="n"/>
      <c r="D178" s="13" t="n"/>
      <c r="E178" s="13" t="n"/>
      <c r="F178" s="13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46">
      <c r="A179" s="13" t="n"/>
      <c r="B179" s="13" t="n"/>
      <c r="C179" s="13" t="n"/>
      <c r="D179" s="13" t="n"/>
      <c r="E179" s="13" t="n"/>
      <c r="F179" s="13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46">
      <c r="A180" s="13" t="n"/>
      <c r="B180" s="13" t="n"/>
      <c r="C180" s="13" t="n"/>
      <c r="D180" s="13" t="n"/>
      <c r="E180" s="13" t="n"/>
      <c r="F180" s="13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46">
      <c r="A181" s="13" t="n"/>
      <c r="B181" s="13" t="n"/>
      <c r="C181" s="13" t="n"/>
      <c r="D181" s="13" t="n"/>
      <c r="E181" s="13" t="n"/>
      <c r="F181" s="13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46">
      <c r="A182" s="13" t="n"/>
      <c r="B182" s="13" t="n"/>
      <c r="C182" s="13" t="n"/>
      <c r="D182" s="13" t="n"/>
      <c r="E182" s="13" t="n"/>
      <c r="F182" s="13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46">
      <c r="A183" s="13" t="n"/>
      <c r="B183" s="13" t="n"/>
      <c r="C183" s="13" t="n"/>
      <c r="D183" s="13" t="n"/>
      <c r="E183" s="13" t="n"/>
      <c r="F183" s="13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46">
      <c r="A184" s="13" t="n"/>
      <c r="B184" s="13" t="n"/>
      <c r="C184" s="13" t="n"/>
      <c r="D184" s="13" t="n"/>
      <c r="E184" s="13" t="n"/>
      <c r="F184" s="13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46">
      <c r="A185" s="13" t="n"/>
      <c r="B185" s="13" t="n"/>
      <c r="C185" s="13" t="n"/>
      <c r="D185" s="13" t="n"/>
      <c r="E185" s="13" t="n"/>
      <c r="F185" s="13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46">
      <c r="A186" s="13" t="n"/>
      <c r="B186" s="13" t="n"/>
      <c r="C186" s="13" t="n"/>
      <c r="D186" s="13" t="n"/>
      <c r="E186" s="13" t="n"/>
      <c r="F186" s="13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46">
      <c r="A187" s="13" t="n"/>
      <c r="B187" s="13" t="n"/>
      <c r="C187" s="13" t="n"/>
      <c r="D187" s="13" t="n"/>
      <c r="E187" s="13" t="n"/>
      <c r="F187" s="13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46">
      <c r="A188" s="13" t="n"/>
      <c r="B188" s="13" t="n"/>
      <c r="C188" s="13" t="n"/>
      <c r="D188" s="13" t="n"/>
      <c r="E188" s="13" t="n"/>
      <c r="F188" s="13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46">
      <c r="A189" s="13" t="n"/>
      <c r="B189" s="13" t="n"/>
      <c r="C189" s="13" t="n"/>
      <c r="D189" s="13" t="n"/>
      <c r="E189" s="13" t="n"/>
      <c r="F189" s="13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46">
      <c r="A190" s="13" t="n"/>
      <c r="B190" s="13" t="n"/>
      <c r="C190" s="13" t="n"/>
      <c r="D190" s="13" t="n"/>
      <c r="E190" s="13" t="n"/>
      <c r="F190" s="13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46">
      <c r="A191" s="13" t="n"/>
      <c r="B191" s="13" t="n"/>
      <c r="C191" s="13" t="n"/>
      <c r="D191" s="13" t="n"/>
      <c r="E191" s="13" t="n"/>
      <c r="F191" s="13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46">
      <c r="A192" s="13" t="n"/>
      <c r="B192" s="13" t="n"/>
      <c r="C192" s="13" t="n"/>
      <c r="D192" s="13" t="n"/>
      <c r="E192" s="13" t="n"/>
      <c r="F192" s="13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46">
      <c r="A193" s="13" t="n"/>
      <c r="B193" s="13" t="n"/>
      <c r="C193" s="13" t="n"/>
      <c r="D193" s="13" t="n"/>
      <c r="E193" s="13" t="n"/>
      <c r="F193" s="13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46">
      <c r="A194" s="13" t="n"/>
      <c r="B194" s="13" t="n"/>
      <c r="C194" s="13" t="n"/>
      <c r="D194" s="13" t="n"/>
      <c r="E194" s="13" t="n"/>
      <c r="F194" s="13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46">
      <c r="A195" s="13" t="n"/>
      <c r="B195" s="13" t="n"/>
      <c r="C195" s="13" t="n"/>
      <c r="D195" s="13" t="n"/>
      <c r="E195" s="13" t="n"/>
      <c r="F195" s="13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46">
      <c r="A196" s="13" t="n"/>
      <c r="B196" s="13" t="n"/>
      <c r="C196" s="13" t="n"/>
      <c r="D196" s="13" t="n"/>
      <c r="E196" s="13" t="n"/>
      <c r="F196" s="13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46">
      <c r="A197" s="13" t="n"/>
      <c r="B197" s="13" t="n"/>
      <c r="C197" s="13" t="n"/>
      <c r="D197" s="13" t="n"/>
      <c r="E197" s="13" t="n"/>
      <c r="F197" s="13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46">
      <c r="A198" s="13" t="n"/>
      <c r="B198" s="13" t="n"/>
      <c r="C198" s="13" t="n"/>
      <c r="D198" s="13" t="n"/>
      <c r="E198" s="13" t="n"/>
      <c r="F198" s="13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46">
      <c r="A199" s="13" t="n"/>
      <c r="B199" s="13" t="n"/>
      <c r="C199" s="13" t="n"/>
      <c r="D199" s="13" t="n"/>
      <c r="E199" s="13" t="n"/>
      <c r="F199" s="13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46">
      <c r="A200" s="13" t="n"/>
      <c r="B200" s="13" t="n"/>
      <c r="C200" s="13" t="n"/>
      <c r="D200" s="13" t="n"/>
      <c r="E200" s="13" t="n"/>
      <c r="F200" s="13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46">
      <c r="A201" s="13" t="n"/>
      <c r="B201" s="13" t="n"/>
      <c r="C201" s="13" t="n"/>
      <c r="D201" s="13" t="n"/>
      <c r="E201" s="13" t="n"/>
      <c r="F201" s="13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46">
      <c r="A202" s="13" t="n"/>
      <c r="B202" s="13" t="n"/>
      <c r="C202" s="13" t="n"/>
      <c r="D202" s="13" t="n"/>
      <c r="E202" s="13" t="n"/>
      <c r="F202" s="13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46">
      <c r="A203" s="13" t="n"/>
      <c r="B203" s="13" t="n"/>
      <c r="C203" s="13" t="n"/>
      <c r="D203" s="13" t="n"/>
      <c r="E203" s="13" t="n"/>
      <c r="F203" s="13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46">
      <c r="A204" s="13" t="n"/>
      <c r="B204" s="13" t="n"/>
      <c r="C204" s="13" t="n"/>
      <c r="D204" s="13" t="n"/>
      <c r="E204" s="13" t="n"/>
      <c r="F204" s="13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46">
      <c r="A205" s="13" t="n"/>
      <c r="B205" s="13" t="n"/>
      <c r="C205" s="13" t="n"/>
      <c r="D205" s="13" t="n"/>
      <c r="E205" s="13" t="n"/>
      <c r="F205" s="13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46">
      <c r="A206" s="13" t="n"/>
      <c r="B206" s="13" t="n"/>
      <c r="C206" s="13" t="n"/>
      <c r="D206" s="13" t="n"/>
      <c r="E206" s="13" t="n"/>
      <c r="F206" s="13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46">
      <c r="A207" s="13" t="n"/>
      <c r="B207" s="13" t="n"/>
      <c r="C207" s="13" t="n"/>
      <c r="D207" s="13" t="n"/>
      <c r="E207" s="13" t="n"/>
      <c r="F207" s="13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46">
      <c r="A208" s="13" t="n"/>
      <c r="B208" s="13" t="n"/>
      <c r="C208" s="13" t="n"/>
      <c r="D208" s="13" t="n"/>
      <c r="E208" s="13" t="n"/>
      <c r="F208" s="13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46">
      <c r="A209" s="13" t="n"/>
      <c r="B209" s="13" t="n"/>
      <c r="C209" s="13" t="n"/>
      <c r="D209" s="13" t="n"/>
      <c r="E209" s="13" t="n"/>
      <c r="F209" s="13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46">
      <c r="A210" s="13" t="n"/>
      <c r="B210" s="13" t="n"/>
      <c r="C210" s="13" t="n"/>
      <c r="D210" s="13" t="n"/>
      <c r="E210" s="13" t="n"/>
      <c r="F210" s="13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46">
      <c r="A211" s="13" t="n"/>
      <c r="B211" s="13" t="n"/>
      <c r="C211" s="13" t="n"/>
      <c r="D211" s="13" t="n"/>
      <c r="E211" s="13" t="n"/>
      <c r="F211" s="13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46">
      <c r="A212" s="13" t="n"/>
      <c r="B212" s="13" t="n"/>
      <c r="C212" s="13" t="n"/>
      <c r="D212" s="13" t="n"/>
      <c r="E212" s="13" t="n"/>
      <c r="F212" s="13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46">
      <c r="A213" s="13" t="n"/>
      <c r="B213" s="13" t="n"/>
      <c r="C213" s="13" t="n"/>
      <c r="D213" s="13" t="n"/>
      <c r="E213" s="13" t="n"/>
      <c r="F213" s="13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46">
      <c r="A214" s="13" t="n"/>
      <c r="B214" s="13" t="n"/>
      <c r="C214" s="13" t="n"/>
      <c r="D214" s="13" t="n"/>
      <c r="E214" s="13" t="n"/>
      <c r="F214" s="13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46">
      <c r="A215" s="13" t="n"/>
      <c r="B215" s="13" t="n"/>
      <c r="C215" s="13" t="n"/>
      <c r="D215" s="13" t="n"/>
      <c r="E215" s="13" t="n"/>
      <c r="F215" s="13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46">
      <c r="A216" s="13" t="n"/>
      <c r="B216" s="13" t="n"/>
      <c r="C216" s="13" t="n"/>
      <c r="D216" s="13" t="n"/>
      <c r="E216" s="13" t="n"/>
      <c r="F216" s="13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46">
      <c r="A217" s="13" t="n"/>
      <c r="B217" s="13" t="n"/>
      <c r="C217" s="13" t="n"/>
      <c r="D217" s="13" t="n"/>
      <c r="E217" s="13" t="n"/>
      <c r="F217" s="13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46">
      <c r="A218" s="13" t="n"/>
      <c r="B218" s="13" t="n"/>
      <c r="C218" s="13" t="n"/>
      <c r="D218" s="13" t="n"/>
      <c r="E218" s="13" t="n"/>
      <c r="F218" s="13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46">
      <c r="A219" s="13" t="n"/>
      <c r="B219" s="13" t="n"/>
      <c r="C219" s="13" t="n"/>
      <c r="D219" s="13" t="n"/>
      <c r="E219" s="13" t="n"/>
      <c r="F219" s="13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46">
      <c r="A220" s="13" t="n"/>
      <c r="B220" s="13" t="n"/>
      <c r="C220" s="13" t="n"/>
      <c r="D220" s="13" t="n"/>
      <c r="E220" s="13" t="n"/>
      <c r="F220" s="13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46">
      <c r="A221" s="13" t="n"/>
      <c r="B221" s="13" t="n"/>
      <c r="C221" s="13" t="n"/>
      <c r="D221" s="13" t="n"/>
      <c r="E221" s="13" t="n"/>
      <c r="F221" s="13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46">
      <c r="A222" s="13" t="n"/>
      <c r="B222" s="13" t="n"/>
      <c r="C222" s="13" t="n"/>
      <c r="D222" s="13" t="n"/>
      <c r="E222" s="13" t="n"/>
      <c r="F222" s="13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46">
      <c r="A223" s="13" t="n"/>
      <c r="B223" s="13" t="n"/>
      <c r="C223" s="13" t="n"/>
      <c r="D223" s="13" t="n"/>
      <c r="E223" s="13" t="n"/>
      <c r="F223" s="13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46">
      <c r="A224" s="13" t="n"/>
      <c r="B224" s="13" t="n"/>
      <c r="C224" s="13" t="n"/>
      <c r="D224" s="13" t="n"/>
      <c r="E224" s="13" t="n"/>
      <c r="F224" s="13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46">
      <c r="A225" s="13" t="n"/>
      <c r="B225" s="13" t="n"/>
      <c r="C225" s="13" t="n"/>
      <c r="D225" s="13" t="n"/>
      <c r="E225" s="13" t="n"/>
      <c r="F225" s="13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46">
      <c r="A226" s="13" t="n"/>
      <c r="B226" s="13" t="n"/>
      <c r="C226" s="13" t="n"/>
      <c r="D226" s="13" t="n"/>
      <c r="E226" s="13" t="n"/>
      <c r="F226" s="13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46">
      <c r="A227" s="13" t="n"/>
      <c r="B227" s="13" t="n"/>
      <c r="C227" s="13" t="n"/>
      <c r="D227" s="13" t="n"/>
      <c r="E227" s="13" t="n"/>
      <c r="F227" s="13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46">
      <c r="A228" s="13" t="n"/>
      <c r="B228" s="13" t="n"/>
      <c r="C228" s="13" t="n"/>
      <c r="D228" s="13" t="n"/>
      <c r="E228" s="13" t="n"/>
      <c r="F228" s="13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46">
      <c r="A229" s="13" t="n"/>
      <c r="B229" s="13" t="n"/>
      <c r="C229" s="13" t="n"/>
      <c r="D229" s="13" t="n"/>
      <c r="E229" s="13" t="n"/>
      <c r="F229" s="13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46">
      <c r="A230" s="13" t="n"/>
      <c r="B230" s="13" t="n"/>
      <c r="C230" s="13" t="n"/>
      <c r="D230" s="13" t="n"/>
      <c r="E230" s="13" t="n"/>
      <c r="F230" s="13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46">
      <c r="A231" s="13" t="n"/>
      <c r="B231" s="13" t="n"/>
      <c r="C231" s="13" t="n"/>
      <c r="D231" s="13" t="n"/>
      <c r="E231" s="13" t="n"/>
      <c r="F231" s="13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46">
      <c r="A232" s="13" t="n"/>
      <c r="B232" s="13" t="n"/>
      <c r="C232" s="13" t="n"/>
      <c r="D232" s="13" t="n"/>
      <c r="E232" s="13" t="n"/>
      <c r="F232" s="13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46">
      <c r="A233" s="13" t="n"/>
      <c r="B233" s="13" t="n"/>
      <c r="C233" s="13" t="n"/>
      <c r="D233" s="13" t="n"/>
      <c r="E233" s="13" t="n"/>
      <c r="F233" s="13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46">
      <c r="A234" s="13" t="n"/>
      <c r="B234" s="13" t="n"/>
      <c r="C234" s="13" t="n"/>
      <c r="D234" s="13" t="n"/>
      <c r="E234" s="13" t="n"/>
      <c r="F234" s="13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46">
      <c r="A235" s="13" t="n"/>
      <c r="B235" s="13" t="n"/>
      <c r="C235" s="13" t="n"/>
      <c r="D235" s="13" t="n"/>
      <c r="E235" s="13" t="n"/>
      <c r="F235" s="13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46">
      <c r="A236" s="13" t="n"/>
      <c r="B236" s="13" t="n"/>
      <c r="C236" s="13" t="n"/>
      <c r="D236" s="13" t="n"/>
      <c r="E236" s="13" t="n"/>
      <c r="F236" s="13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46">
      <c r="A237" s="13" t="n"/>
      <c r="B237" s="13" t="n"/>
      <c r="C237" s="13" t="n"/>
      <c r="D237" s="13" t="n"/>
      <c r="E237" s="13" t="n"/>
      <c r="F237" s="13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46">
      <c r="A238" s="13" t="n"/>
      <c r="B238" s="13" t="n"/>
      <c r="C238" s="13" t="n"/>
      <c r="D238" s="13" t="n"/>
      <c r="E238" s="13" t="n"/>
      <c r="F238" s="13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46">
      <c r="A239" s="13" t="n"/>
      <c r="B239" s="13" t="n"/>
      <c r="C239" s="13" t="n"/>
      <c r="D239" s="13" t="n"/>
      <c r="E239" s="13" t="n"/>
      <c r="F239" s="13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46">
      <c r="A240" s="13" t="n"/>
      <c r="B240" s="13" t="n"/>
      <c r="C240" s="13" t="n"/>
      <c r="D240" s="13" t="n"/>
      <c r="E240" s="13" t="n"/>
      <c r="F240" s="13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46">
      <c r="A241" s="13" t="n"/>
      <c r="B241" s="13" t="n"/>
      <c r="C241" s="13" t="n"/>
      <c r="D241" s="13" t="n"/>
      <c r="E241" s="13" t="n"/>
      <c r="F241" s="13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46">
      <c r="A242" s="13" t="n"/>
      <c r="B242" s="13" t="n"/>
      <c r="C242" s="13" t="n"/>
      <c r="D242" s="13" t="n"/>
      <c r="E242" s="13" t="n"/>
      <c r="F242" s="13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46">
      <c r="A243" s="13" t="n"/>
      <c r="B243" s="13" t="n"/>
      <c r="C243" s="13" t="n"/>
      <c r="D243" s="13" t="n"/>
      <c r="E243" s="13" t="n"/>
      <c r="F243" s="13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46">
      <c r="A244" s="13" t="n"/>
      <c r="B244" s="13" t="n"/>
      <c r="C244" s="13" t="n"/>
      <c r="D244" s="13" t="n"/>
      <c r="E244" s="13" t="n"/>
      <c r="F244" s="13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46">
      <c r="A245" s="13" t="n"/>
      <c r="B245" s="13" t="n"/>
      <c r="C245" s="13" t="n"/>
      <c r="D245" s="13" t="n"/>
      <c r="E245" s="13" t="n"/>
      <c r="F245" s="13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46">
      <c r="A246" s="13" t="n"/>
      <c r="B246" s="13" t="n"/>
      <c r="C246" s="13" t="n"/>
      <c r="D246" s="13" t="n"/>
      <c r="E246" s="13" t="n"/>
      <c r="F246" s="13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46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46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46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46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46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46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46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46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46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4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46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46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46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46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46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46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46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46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46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4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46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46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46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46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46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46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46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46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46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4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46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46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46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46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46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46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46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46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46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4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46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46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46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46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46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46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46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46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46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4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46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46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46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46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46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46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46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46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46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4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46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46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46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46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46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46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46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46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46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4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46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46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46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46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46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46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46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46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46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4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46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46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46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46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46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46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46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46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46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4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46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46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46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46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46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46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46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46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46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46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46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46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46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46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46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46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46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46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4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46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46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46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46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46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46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46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46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46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4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46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46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46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46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46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46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46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46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46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4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46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46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46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46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46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46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46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46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46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4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46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46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46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46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46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46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46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46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46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4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46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46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46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46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46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46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46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46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46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4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46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46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46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46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46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46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46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46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46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4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46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46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46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46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46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46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46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46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46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4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46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46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46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46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46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46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46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46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46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4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46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46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46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46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46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46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46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46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46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46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46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46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46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46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46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46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46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46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4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46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46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46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46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46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46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46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46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46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4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46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46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46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46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46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46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46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46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46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4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46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46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46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46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46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46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46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46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46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4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46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46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46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46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46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46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46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46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46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4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46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46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46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46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46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46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46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46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46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4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46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46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46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46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46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46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46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46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46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4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46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46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46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46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46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46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46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46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46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4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46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46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46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46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46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46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46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46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46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4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46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46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46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46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46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46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46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46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46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4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46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46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46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46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46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46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46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46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46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4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46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46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46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46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46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46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46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46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46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4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46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46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46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46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46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46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46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46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46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4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46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46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46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46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46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46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46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46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46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4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46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46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46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46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46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46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46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46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46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4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46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46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46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46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46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46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46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46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46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4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46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46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46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46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46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46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46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46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46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4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46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46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46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46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46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46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46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46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46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4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46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46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46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46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46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46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46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46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46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4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46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46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46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46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46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46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46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46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46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4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46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46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46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46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46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46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46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46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46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4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46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46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46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46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46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46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46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46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46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4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46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46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46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46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46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46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46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46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46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4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46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46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46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46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46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46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46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46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46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4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46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46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46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46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46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46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46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46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46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4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46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46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46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46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46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46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46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46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46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4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46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46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46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46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46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46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46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46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46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4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46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46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46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46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46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46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46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46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46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4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46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46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46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46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46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46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46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46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46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4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46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46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46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46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46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46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46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46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46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4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46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46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46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46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46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46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46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46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46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4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46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46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46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46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46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46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46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46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46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4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46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46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46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46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46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46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46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46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46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4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46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46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46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46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46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46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46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46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46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4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46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46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46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46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46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46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46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46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46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4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46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46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46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46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46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46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46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46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46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4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46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46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46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46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46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46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46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46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46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4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46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46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46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46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46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46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46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46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46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4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46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46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46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46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46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46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46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46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46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4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46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46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46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46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46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46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46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46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46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4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46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46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46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46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46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46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46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46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46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4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46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46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46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46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46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46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46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46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46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4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46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46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46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46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46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46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46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46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46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4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46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46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46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46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46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46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46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46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46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4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46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46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46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46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46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46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46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46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46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4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46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46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46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46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46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46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46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46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46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4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46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46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46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46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46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46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46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46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46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4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46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46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46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46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46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46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46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46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46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4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46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46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46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46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46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46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46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46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46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4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46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46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46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46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46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46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46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46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46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4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46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46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46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46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46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46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46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46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46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4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46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46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46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46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46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46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46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46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46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4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46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46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46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46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46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46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46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46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46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4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46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46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46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46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46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46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46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46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46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4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46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46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46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46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46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46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46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46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46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4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46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46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46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46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2026-04-17T13:32:47Z</dcterms:created>
  <dcterms:modified xmlns:dcterms="http://purl.org/dc/terms/" xmlns:xsi="http://www.w3.org/2001/XMLSchema-instance" xsi:type="dcterms:W3CDTF">2026-04-17T13:32:48Z</dcterms:modified>
</cp:coreProperties>
</file>